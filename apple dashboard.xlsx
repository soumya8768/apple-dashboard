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drawings/drawing8.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drawings/drawing9.xml" ContentType="application/vnd.openxmlformats-officedocument.drawing+xml"/>
  <Override PartName="/xl/slicers/slicer1.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codeName="ThisWorkbook" defaultThemeVersion="166925"/>
  <mc:AlternateContent xmlns:mc="http://schemas.openxmlformats.org/markup-compatibility/2006">
    <mc:Choice Requires="x15">
      <x15ac:absPath xmlns:x15ac="http://schemas.microsoft.com/office/spreadsheetml/2010/11/ac" url="D:\Soumya\"/>
    </mc:Choice>
  </mc:AlternateContent>
  <xr:revisionPtr revIDLastSave="0" documentId="13_ncr:1_{50DC82B8-FCF3-4485-9480-1B719ED664A7}" xr6:coauthVersionLast="47" xr6:coauthVersionMax="47" xr10:uidLastSave="{00000000-0000-0000-0000-000000000000}"/>
  <bookViews>
    <workbookView xWindow="-108" yWindow="-108" windowWidth="23256" windowHeight="13176" firstSheet="7" activeTab="9" xr2:uid="{FC7A474E-9B76-4F8A-BD28-9221B8ABCBBE}"/>
  </bookViews>
  <sheets>
    <sheet name="Sum of Sale Price" sheetId="2" r:id="rId1"/>
    <sheet name="Average of Sale Price" sheetId="3" r:id="rId2"/>
    <sheet name="Highest Discount Amount" sheetId="11" r:id="rId3"/>
    <sheet name="Highest No. of Rating" sheetId="12" r:id="rId4"/>
    <sheet name="Avg. of Star Rating " sheetId="13" r:id="rId5"/>
    <sheet name="Avilable Product" sheetId="15" r:id="rId6"/>
    <sheet name="Average of Discount Percentage" sheetId="16" r:id="rId7"/>
    <sheet name="Averag Sale Price" sheetId="18" r:id="rId8"/>
    <sheet name="Sheet1" sheetId="1" r:id="rId9"/>
    <sheet name="DAshboard" sheetId="19" r:id="rId10"/>
  </sheets>
  <definedNames>
    <definedName name="_xlcn.WorksheetConnection_appledashboard.xlsxApple1" hidden="1">Appled[]</definedName>
    <definedName name="Slicer_Ram">#N/A</definedName>
    <definedName name="Slicer_Star_Rating">#N/A</definedName>
  </definedNames>
  <calcPr calcId="191029"/>
  <pivotCaches>
    <pivotCache cacheId="32" r:id="rId11"/>
    <pivotCache cacheId="41" r:id="rId12"/>
    <pivotCache cacheId="42" r:id="rId13"/>
  </pivotCaches>
  <extLst>
    <ext xmlns:x14="http://schemas.microsoft.com/office/spreadsheetml/2009/9/main" uri="{BBE1A952-AA13-448e-AADC-164F8A28A991}">
      <x14:slicerCaches>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Apple" name="Apple" connection="WorksheetConnection_apple dashboard.xlsx!Apple"/>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A1213F2-09FB-45E9-8C10-89A28B96B8E2}"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44732B33-02EE-443F-AEBD-FFEE33F68392}" name="WorksheetConnection_apple dashboard.xlsx!Apple" type="102" refreshedVersion="8" minRefreshableVersion="5">
    <extLst>
      <ext xmlns:x15="http://schemas.microsoft.com/office/spreadsheetml/2010/11/main" uri="{DE250136-89BD-433C-8126-D09CA5730AF9}">
        <x15:connection id="Apple" autoDelete="1">
          <x15:rangePr sourceName="_xlcn.WorksheetConnection_appledashboard.xlsxApple1"/>
        </x15:connection>
      </ext>
    </extLst>
  </connection>
</connections>
</file>

<file path=xl/sharedStrings.xml><?xml version="1.0" encoding="utf-8"?>
<sst xmlns="http://schemas.openxmlformats.org/spreadsheetml/2006/main" count="376" uniqueCount="216">
  <si>
    <t>Product Name</t>
  </si>
  <si>
    <t>Product URL</t>
  </si>
  <si>
    <t>Brand</t>
  </si>
  <si>
    <t>Sale Price</t>
  </si>
  <si>
    <t>Mrp</t>
  </si>
  <si>
    <t>Discount Percentage</t>
  </si>
  <si>
    <t>Number Of Ratings</t>
  </si>
  <si>
    <t>Number Of Reviews</t>
  </si>
  <si>
    <t>Upc</t>
  </si>
  <si>
    <t>Star Rating</t>
  </si>
  <si>
    <t>Ram</t>
  </si>
  <si>
    <t>APPLE iPhone 8 Plus (Gold, 64 GB)</t>
  </si>
  <si>
    <t>https://www.flipkart.com/apple-iphone-8-plus-gold-64-gb/p/itmexrgvuzgzttzh?pid=MOBEXRGV7EHHTGUH</t>
  </si>
  <si>
    <t>Apple</t>
  </si>
  <si>
    <t>MOBEXRGV7EHHTGUH</t>
  </si>
  <si>
    <t>2 GB</t>
  </si>
  <si>
    <t>APPLE iPhone 8 Plus (Space Grey, 256 GB)</t>
  </si>
  <si>
    <t>https://www.flipkart.com/apple-iphone-8-plus-space-grey-256-gb/p/itmexrgvzkbyqgtf?pid=MOBEXRGVAC6TJT4F</t>
  </si>
  <si>
    <t>MOBEXRGVAC6TJT4F</t>
  </si>
  <si>
    <t>APPLE iPhone 8 Plus (Silver, 256 GB)</t>
  </si>
  <si>
    <t>https://www.flipkart.com/apple-iphone-8-plus-silver-256-gb/p/itmexrgvxatuyrqw?pid=MOBEXRGVGETABXWZ</t>
  </si>
  <si>
    <t>MOBEXRGVGETABXWZ</t>
  </si>
  <si>
    <t>APPLE iPhone 8 (Silver, 256 GB)</t>
  </si>
  <si>
    <t>https://www.flipkart.com/apple-iphone-8-silver-256-gb/p/itmexrgvae48gzhp?pid=MOBEXRGVMZWUHCBA</t>
  </si>
  <si>
    <t>MOBEXRGVMZWUHCBA</t>
  </si>
  <si>
    <t>APPLE iPhone 8 (Gold, 256 GB)</t>
  </si>
  <si>
    <t>https://www.flipkart.com/apple-iphone-8-gold-256-gb/p/itmexrgv8bvfbzgw?pid=MOBEXRGVPK7PFEJZ</t>
  </si>
  <si>
    <t>MOBEXRGVPK7PFEJZ</t>
  </si>
  <si>
    <t>APPLE iPhone 8 Plus (Silver, 64 GB)</t>
  </si>
  <si>
    <t>https://www.flipkart.com/apple-iphone-8-plus-silver-64-gb/p/itmexrgv7yfjbryy?pid=MOBEXRGVQGYYP8FV</t>
  </si>
  <si>
    <t>MOBEXRGVQGYYP8FV</t>
  </si>
  <si>
    <t>APPLE iPhone 8 Plus (Space Grey, 64 GB)</t>
  </si>
  <si>
    <t>https://www.flipkart.com/apple-iphone-8-plus-space-grey-64-gb/p/itmexrgvehtzhh9v?pid=MOBEXRGVQKBREZP8</t>
  </si>
  <si>
    <t>MOBEXRGVQKBREZP8</t>
  </si>
  <si>
    <t>APPLE iPhone 8 (Space Grey, 256 GB)</t>
  </si>
  <si>
    <t>https://www.flipkart.com/apple-iphone-8-space-grey-256-gb/p/itmexrgvypzqw6df?pid=MOBEXRGVZFZGZEWV</t>
  </si>
  <si>
    <t>MOBEXRGVZFZGZEWV</t>
  </si>
  <si>
    <t>APPLE iPhone XS Max (Silver, 64 GB)</t>
  </si>
  <si>
    <t>https://www.flipkart.com/apple-iphone-xs-max-silver-64-gb/p/itmf944ehzsh7emx?pid=MOBF944E2XAHW8V5</t>
  </si>
  <si>
    <t>MOBF944E2XAHW8V5</t>
  </si>
  <si>
    <t>4 GB</t>
  </si>
  <si>
    <t>Apple iPhone XR ((PRODUCT)RED, 128 GB) (Includes EarPods, Power Adapter)</t>
  </si>
  <si>
    <t>https://www.flipkart.com/apple-iphone-xr-product-red-128-gb-includes-earpods-power-adapter/p/itmf9z7zbkvjzegf?pid=MOBF9Z7ZHQC23PWQ</t>
  </si>
  <si>
    <t>MOBF9Z7ZHQC23PWQ</t>
  </si>
  <si>
    <t>Apple iPhone XR (Black, 64 GB) (Includes EarPods, Power Adapter)</t>
  </si>
  <si>
    <t>https://www.flipkart.com/apple-iphone-xr-black-64-gb-includes-earpods-power-adapter/p/itmf9z7zxu4uqyz2?pid=MOBF9Z7ZPHGV4GNH</t>
  </si>
  <si>
    <t>MOBF9Z7ZPHGV4GNH</t>
  </si>
  <si>
    <t>Apple iPhone XR (Coral, 128 GB) (Includes EarPods, Power Adapter)</t>
  </si>
  <si>
    <t>https://www.flipkart.com/apple-iphone-xr-coral-128-gb-includes-earpods-power-adapter/p/itmf9z7zgxx5wgez?pid=MOBF9Z7ZS6GF5UAP</t>
  </si>
  <si>
    <t>MOBF9Z7ZS6GF5UAP</t>
  </si>
  <si>
    <t>Apple iPhone XR (Black, 128 GB) (Includes EarPods, Power Adapter)</t>
  </si>
  <si>
    <t>https://www.flipkart.com/apple-iphone-xr-black-128-gb-includes-earpods-power-adapter/p/itmf9z7zhdgzwmzm?pid=MOBF9Z7ZYWNFGZUC</t>
  </si>
  <si>
    <t>MOBF9Z7ZYWNFGZUC</t>
  </si>
  <si>
    <t>3 GB</t>
  </si>
  <si>
    <t>Apple iPhone XR (White, 128 GB) (Includes EarPods, Power Adapter)</t>
  </si>
  <si>
    <t>https://www.flipkart.com/apple-iphone-xr-white-128-gb-includes-earpods-power-adapter/p/itmf9z7zrz4tbhwm?pid=MOBF9Z7ZZY3HCDZZ</t>
  </si>
  <si>
    <t>MOBF9Z7ZZY3HCDZZ</t>
  </si>
  <si>
    <t>APPLE iPhone 11 Pro Max (Gold, 256 GB)</t>
  </si>
  <si>
    <t>https://www.flipkart.com/apple-iphone-11-pro-max-gold-256-gb/p/itm94c6536eefc46?pid=MOBFKCTS7HCHSPFH</t>
  </si>
  <si>
    <t>MOBFKCTS7HCHSPFH</t>
  </si>
  <si>
    <t>APPLE iPhone 11 Pro Max (Gold, 64 GB)</t>
  </si>
  <si>
    <t>https://www.flipkart.com/apple-iphone-11-pro-max-gold-64-gb/p/itm6ef18218efdf6?pid=MOBFKCTSAPAYNSGG</t>
  </si>
  <si>
    <t>MOBFKCTSAPAYNSGG</t>
  </si>
  <si>
    <t>APPLE iPhone 11 Pro Max (Midnight Green, 256 GB)</t>
  </si>
  <si>
    <t>https://www.flipkart.com/apple-iphone-11-pro-max-midnight-green-256-gb/p/itm68e0db18f9ecc?pid=MOBFKCTSCAAKGQV7</t>
  </si>
  <si>
    <t>MOBFKCTSCAAKGQV7</t>
  </si>
  <si>
    <t>APPLE iPhone 11 Pro Max (Space Grey, 64 GB)</t>
  </si>
  <si>
    <t>https://www.flipkart.com/apple-iphone-11-pro-max-space-grey-64-gb/p/itme0101031155f8?pid=MOBFKCTSKDMKCGQS</t>
  </si>
  <si>
    <t>MOBFKCTSKDMKCGQS</t>
  </si>
  <si>
    <t>APPLE iPhone 11 Pro (Midnight Green, 64 GB)</t>
  </si>
  <si>
    <t>https://www.flipkart.com/apple-iphone-11-pro-midnight-green-64-gb/p/itm471de0d2e8474?pid=MOBFKCTSN3TG3RFJ</t>
  </si>
  <si>
    <t>MOBFKCTSN3TG3RFJ</t>
  </si>
  <si>
    <t>APPLE iPhone 11 Pro (Space Grey, 512 GB)</t>
  </si>
  <si>
    <t>https://www.flipkart.com/apple-iphone-11-pro-space-grey-512-gb/p/itmcd1f0ddbf1c21?pid=MOBFKCTSRTHRQTFT</t>
  </si>
  <si>
    <t>MOBFKCTSRTHRQTFT</t>
  </si>
  <si>
    <t>APPLE iPhone 11 Pro Max (Midnight Green, 64 GB)</t>
  </si>
  <si>
    <t>https://www.flipkart.com/apple-iphone-11-pro-max-midnight-green-64-gb/p/itmab1763b5ca244?pid=MOBFKCTSRYPAQNYT</t>
  </si>
  <si>
    <t>MOBFKCTSRYPAQNYT</t>
  </si>
  <si>
    <t>APPLE iPhone 11 Pro (Midnight Green, 512 GB)</t>
  </si>
  <si>
    <t>https://www.flipkart.com/apple-iphone-11-pro-midnight-green-512-gb/p/itm0bdd954387ca9?pid=MOBFKCTSSJCWYGCC</t>
  </si>
  <si>
    <t>MOBFKCTSSJCWYGCC</t>
  </si>
  <si>
    <t>APPLE iPhone 11 Pro (Space Grey, 256 GB)</t>
  </si>
  <si>
    <t>https://www.flipkart.com/apple-iphone-11-pro-space-grey-256-gb/p/itmbecef22a95790?pid=MOBFKCTSWGYSAS9X</t>
  </si>
  <si>
    <t>MOBFKCTSWGYSAS9X</t>
  </si>
  <si>
    <t>Apple iPhone SE (White, 256 GB) (Includes EarPods, Power Adapter)</t>
  </si>
  <si>
    <t>https://www.flipkart.com/apple-iphone-se-white-256-gb-includes-earpods-power-adapter/p/itm4d73793c30c4c?pid=MOBFRFXHPZCHAPEH</t>
  </si>
  <si>
    <t>MOBFRFXHPZCHAPEH</t>
  </si>
  <si>
    <t>APPLE iPhone 12 Pro (Silver, 512 GB)</t>
  </si>
  <si>
    <t>https://www.flipkart.com/apple-iphone-12-pro-silver-512-gb/p/itm0ccf9fc219a71?pid=MOBFWBYZ5UY6ZBVA</t>
  </si>
  <si>
    <t>MOBFWBYZ5UY6ZBVA</t>
  </si>
  <si>
    <t>APPLE iPhone 12 Pro Max (Pacific Blue, 256 GB)</t>
  </si>
  <si>
    <t>https://www.flipkart.com/apple-iphone-12-pro-max-pacific-blue-256-gb/p/itm3a0860c94250e?pid=MOBFWBYZ8STJXCVT</t>
  </si>
  <si>
    <t>MOBFWBYZ8STJXCVT</t>
  </si>
  <si>
    <t>6 GB</t>
  </si>
  <si>
    <t>APPLE iPhone 12 Mini (White, 128 GB)</t>
  </si>
  <si>
    <t>https://www.flipkart.com/apple-iphone-12-mini-white-128-gb/p/itm9098fa76548ba?pid=MOBFWBYZAGXJRDGB</t>
  </si>
  <si>
    <t>MOBFWBYZAGXJRDGB</t>
  </si>
  <si>
    <t>APPLE iPhone 12 Pro (Graphite, 256 GB)</t>
  </si>
  <si>
    <t>https://www.flipkart.com/apple-iphone-12-pro-graphite-256-gb/p/itm4fa4da575698c?pid=MOBFWBYZBA36UB7G</t>
  </si>
  <si>
    <t>MOBFWBYZBA36UB7G</t>
  </si>
  <si>
    <t>APPLE iPhone 12 Mini (White, 64 GB)</t>
  </si>
  <si>
    <t>https://www.flipkart.com/apple-iphone-12-mini-white-64-gb/p/itmf3b16d1640898?pid=MOBFWBYZBH4CEC4C</t>
  </si>
  <si>
    <t>MOBFWBYZBH4CEC4C</t>
  </si>
  <si>
    <t>APPLE iPhone 12 (White, 128 GB)</t>
  </si>
  <si>
    <t>https://www.flipkart.com/apple-iphone-12-white-128-gb/p/itm95393f4c6cc59?pid=MOBFWBYZBTZFGJF9</t>
  </si>
  <si>
    <t>MOBFWBYZBTZFGJF9</t>
  </si>
  <si>
    <t>APPLE iPhone 12 Pro (Graphite, 128 GB)</t>
  </si>
  <si>
    <t>https://www.flipkart.com/apple-iphone-12-pro-graphite-128-gb/p/itm03e5f2595d843?pid=MOBFWBYZBZ7Y56WD</t>
  </si>
  <si>
    <t>MOBFWBYZBZ7Y56WD</t>
  </si>
  <si>
    <t>APPLE iPhone 12 Pro Max (Graphite, 256 GB)</t>
  </si>
  <si>
    <t>https://www.flipkart.com/apple-iphone-12-pro-max-graphite-256-gb/p/itm8dbdf0b986725?pid=MOBFWBYZEF6XQ5ZW</t>
  </si>
  <si>
    <t>MOBFWBYZEF6XQ5ZW</t>
  </si>
  <si>
    <t>APPLE iPhone 12 Pro Max (Graphite, 128 GB)</t>
  </si>
  <si>
    <t>https://www.flipkart.com/apple-iphone-12-pro-max-graphite-128-gb/p/itm973c298184f51?pid=MOBFWBYZFDGQSDWS</t>
  </si>
  <si>
    <t>MOBFWBYZFDGQSDWS</t>
  </si>
  <si>
    <t>APPLE iPhone 12 Mini (Black, 128 GB)</t>
  </si>
  <si>
    <t>https://www.flipkart.com/apple-iphone-12-mini-black-128-gb/p/itm0eb512c195bdf?pid=MOBFWBYZH2AMPNPD</t>
  </si>
  <si>
    <t>MOBFWBYZH2AMPNPD</t>
  </si>
  <si>
    <t>APPLE iPhone 12 Mini (Blue, 128 GB)</t>
  </si>
  <si>
    <t>https://www.flipkart.com/apple-iphone-12-mini-blue-128-gb/p/itm9b6cdec9700ee?pid=MOBFWBYZHU58PHCZ</t>
  </si>
  <si>
    <t>MOBFWBYZHU58PHCZ</t>
  </si>
  <si>
    <t>APPLE iPhone 12 (Black, 128 GB)</t>
  </si>
  <si>
    <t>https://www.flipkart.com/apple-iphone-12-black-128-gb/p/itmf1f0a58f1ecd7?pid=MOBFWBYZK3HACR72</t>
  </si>
  <si>
    <t>MOBFWBYZK3HACR72</t>
  </si>
  <si>
    <t>APPLE iPhone 12 (Blue, 128 GB)</t>
  </si>
  <si>
    <t>https://www.flipkart.com/apple-iphone-12-blue-128-gb/p/itm02853ae92e90a?pid=MOBFWBYZKPTZF9VG</t>
  </si>
  <si>
    <t>MOBFWBYZKPTZF9VG</t>
  </si>
  <si>
    <t>APPLE iPhone 12 Pro Max (Silver, 128 GB)</t>
  </si>
  <si>
    <t>https://www.flipkart.com/apple-iphone-12-pro-max-silver-128-gb/p/itm5a51ba742a17e?pid=MOBFWBYZNSNVGGZC</t>
  </si>
  <si>
    <t>MOBFWBYZNSNVGGZC</t>
  </si>
  <si>
    <t>APPLE iPhone 12 Mini (Red, 64 GB)</t>
  </si>
  <si>
    <t>https://www.flipkart.com/apple-iphone-12-mini-red-64-gb/p/itm255dd64643767?pid=MOBFWBYZNVWGWN2U</t>
  </si>
  <si>
    <t>MOBFWBYZNVWGWN2U</t>
  </si>
  <si>
    <t>APPLE iPhone 12 Pro Max (Gold, 128 GB)</t>
  </si>
  <si>
    <t>https://www.flipkart.com/apple-iphone-12-pro-max-gold-128-gb/p/itme3ae592065711?pid=MOBFWBYZQVKT77YH</t>
  </si>
  <si>
    <t>MOBFWBYZQVKT77YH</t>
  </si>
  <si>
    <t>APPLE iPhone 12 (Green, 128 GB)</t>
  </si>
  <si>
    <t>https://www.flipkart.com/apple-iphone-12-green-128-gb/p/itm4e0a120f7d9c4?pid=MOBFWBYZQXUEHF48</t>
  </si>
  <si>
    <t>MOBFWBYZQXUEHF48</t>
  </si>
  <si>
    <t>APPLE iPhone 12 Pro (Pacific Blue, 512 GB)</t>
  </si>
  <si>
    <t>https://www.flipkart.com/apple-iphone-12-pro-pacific-blue-512-gb/p/itm8a39d6779b04e?pid=MOBFWBYZTHSXKMGW</t>
  </si>
  <si>
    <t>MOBFWBYZTHSXKMGW</t>
  </si>
  <si>
    <t>APPLE iPhone 12 (White, 64 GB)</t>
  </si>
  <si>
    <t>https://www.flipkart.com/apple-iphone-12-white-64-gb/p/itm8b88bdc03cd79?pid=MOBFWBYZTK33MBG9</t>
  </si>
  <si>
    <t>MOBFWBYZTK33MBG9</t>
  </si>
  <si>
    <t>APPLE iPhone 12 (Black, 64 GB)</t>
  </si>
  <si>
    <t>https://www.flipkart.com/apple-iphone-12-black-64-gb/p/itma2559422bf7c7?pid=MOBFWBYZU5FWK2VP</t>
  </si>
  <si>
    <t>MOBFWBYZU5FWK2VP</t>
  </si>
  <si>
    <t>APPLE iPhone 12 (Red, 128 GB)</t>
  </si>
  <si>
    <t>https://www.flipkart.com/apple-iphone-12-red-128-gb/p/itma7bd86885ed98?pid=MOBFWBYZUHPFWQRD</t>
  </si>
  <si>
    <t>MOBFWBYZUHPFWQRD</t>
  </si>
  <si>
    <t>APPLE iPhone 12 Mini (Black, 64 GB)</t>
  </si>
  <si>
    <t>https://www.flipkart.com/apple-iphone-12-mini-black-64-gb/p/itm38b727191eb08?pid=MOBFWBYZXSEGBS6F</t>
  </si>
  <si>
    <t>MOBFWBYZXSEGBS6F</t>
  </si>
  <si>
    <t>APPLE iPhone 12 Pro (Pacific Blue, 128 GB)</t>
  </si>
  <si>
    <t>https://www.flipkart.com/apple-iphone-12-pro-pacific-blue-128-gb/p/itm97c833296c221?pid=MOBFWBYZXYSCEEEH</t>
  </si>
  <si>
    <t>MOBFWBYZXYSCEEEH</t>
  </si>
  <si>
    <t>APPLE iPhone 12 Pro Max (Pacific Blue, 128 GB)</t>
  </si>
  <si>
    <t>https://www.flipkart.com/apple-iphone-12-pro-max-pacific-blue-128-gb/p/itmd89812b558a03?pid=MOBFWBYZZABKHZQA</t>
  </si>
  <si>
    <t>MOBFWBYZZABKHZQA</t>
  </si>
  <si>
    <t>APPLE iPhone 12 Pro Max (Silver, 256 GB)</t>
  </si>
  <si>
    <t>https://www.flipkart.com/apple-iphone-12-pro-max-silver-256-gb/p/itm30faf74442adb?pid=MOBFWBYZZH4AM8FE</t>
  </si>
  <si>
    <t>MOBFWBYZZH4AM8FE</t>
  </si>
  <si>
    <t>APPLE iPhone 12 Pro Max (Gold, 256 GB)</t>
  </si>
  <si>
    <t>https://www.flipkart.com/apple-iphone-12-pro-max-gold-256-gb/p/itm1e0354f5bbc8c?pid=MOBFWBYZZPW8JHQF</t>
  </si>
  <si>
    <t>MOBFWBYZZPW8JHQF</t>
  </si>
  <si>
    <t>APPLE iPhone 11 (White, 128 GB)</t>
  </si>
  <si>
    <t>https://www.flipkart.com/apple-iphone-11-white-128-gb/p/itme32df47ea6742?pid=MOBFWQ6B7KKRXDDS</t>
  </si>
  <si>
    <t>MOBFWQ6B7KKRXDDS</t>
  </si>
  <si>
    <t>APPLE iPhone 11 (Red, 128 GB)</t>
  </si>
  <si>
    <t>https://www.flipkart.com/apple-iphone-11-red-128-gb/p/itm8d14bd0e33a1c?pid=MOBFWQ6BEZTNK59G</t>
  </si>
  <si>
    <t>MOBFWQ6BEZTNK59G</t>
  </si>
  <si>
    <t>APPLE iPhone SE (White, 64 GB)</t>
  </si>
  <si>
    <t>https://www.flipkart.com/apple-iphone-se-white-64-gb/p/itma00a19e11c81b?pid=MOBFWQ6BGWDVGF3E</t>
  </si>
  <si>
    <t>MOBFWQ6BGWDVGF3E</t>
  </si>
  <si>
    <t>APPLE iPhone SE (Black, 128 GB)</t>
  </si>
  <si>
    <t>https://www.flipkart.com/apple-iphone-se-black-128-gb/p/itma9285ccc6af28?pid=MOBFWQ6BHUEVZPXD</t>
  </si>
  <si>
    <t>MOBFWQ6BHUEVZPXD</t>
  </si>
  <si>
    <t>APPLE iPhone SE (White, 128 GB)</t>
  </si>
  <si>
    <t>https://www.flipkart.com/apple-iphone-se-white-128-gb/p/itmc2a0f593a4ad8?pid=MOBFWQ6BJEHMUUZY</t>
  </si>
  <si>
    <t>MOBFWQ6BJEHMUUZY</t>
  </si>
  <si>
    <t>APPLE iPhone SE (Red, 128 GB)</t>
  </si>
  <si>
    <t>https://www.flipkart.com/apple-iphone-se-red-128-gb/p/itma4202509da171?pid=MOBFWQ6BJTVFKPEJ</t>
  </si>
  <si>
    <t>MOBFWQ6BJTVFKPEJ</t>
  </si>
  <si>
    <t>APPLE iPhone 11 (Black, 128 GB)</t>
  </si>
  <si>
    <t>https://www.flipkart.com/apple-iphone-11-black-128-gb/p/itm8244e8d955aba?pid=MOBFWQ6BKRYBP5X8</t>
  </si>
  <si>
    <t>MOBFWQ6BKRYBP5X8</t>
  </si>
  <si>
    <t>APPLE iPhone SE (Black, 64 GB)</t>
  </si>
  <si>
    <t>https://www.flipkart.com/apple-iphone-se-black-64-gb/p/itm4d3d5718a5c95?pid=MOBFWQ6BR3MK7AUG</t>
  </si>
  <si>
    <t>MOBFWQ6BR3MK7AUG</t>
  </si>
  <si>
    <t>APPLE iPhone 11 (Purple, 64 GB)</t>
  </si>
  <si>
    <t>https://www.flipkart.com/apple-iphone-11-purple-64-gb/p/itm2b8d03427ddac?pid=MOBFWQ6BTFFJKGKE</t>
  </si>
  <si>
    <t>MOBFWQ6BTFFJKGKE</t>
  </si>
  <si>
    <t>APPLE iPhone 11 (White, 64 GB)</t>
  </si>
  <si>
    <t>https://www.flipkart.com/apple-iphone-11-white-64-gb/p/itmfc6a7091eb20b?pid=MOBFWQ6BVWVEH3XE</t>
  </si>
  <si>
    <t>MOBFWQ6BVWVEH3XE</t>
  </si>
  <si>
    <t>APPLE iPhone 11 (Black, 64 GB)</t>
  </si>
  <si>
    <t>https://www.flipkart.com/apple-iphone-11-black-64-gb/p/itm4e5041ba101fd?pid=MOBFWQ6BXGJCEYNY</t>
  </si>
  <si>
    <t>MOBFWQ6BXGJCEYNY</t>
  </si>
  <si>
    <t>APPLE iPhone 11 (Red, 64 GB)</t>
  </si>
  <si>
    <t>https://www.flipkart.com/apple-iphone-11-red-64-gb/p/itmc3935326f2feb?pid=MOBFWQ6BYYV3FCU7</t>
  </si>
  <si>
    <t>MOBFWQ6BYYV3FCU7</t>
  </si>
  <si>
    <t>Model</t>
  </si>
  <si>
    <t>Highest Sale Price</t>
  </si>
  <si>
    <t>Average of Sale Price</t>
  </si>
  <si>
    <t>Discount Amount</t>
  </si>
  <si>
    <t>Row Labels</t>
  </si>
  <si>
    <t>*</t>
  </si>
  <si>
    <t>Highest Discount Amount</t>
  </si>
  <si>
    <t>Highest No. of Rating</t>
  </si>
  <si>
    <t>Average of Star Rating</t>
  </si>
  <si>
    <t>Avilable Product</t>
  </si>
  <si>
    <t>Average of Discount Percentage</t>
  </si>
  <si>
    <t>(All)</t>
  </si>
  <si>
    <t>Star rating</t>
  </si>
  <si>
    <t>Value Ratio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</si>
</sst>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pivotButton="1"/>
    <xf numFmtId="0" fontId="0" fillId="0" borderId="0" xfId="0" applyAlignment="1">
      <alignment horizontal="left"/>
    </xf>
    <xf numFmtId="1" fontId="0" fillId="0" borderId="0" xfId="0" applyNumberFormat="1"/>
    <xf numFmtId="164" fontId="0" fillId="0" borderId="0" xfId="0" applyNumberFormat="1"/>
    <xf numFmtId="0" fontId="0" fillId="0" borderId="0" xfId="0" applyNumberFormat="1"/>
  </cellXfs>
  <cellStyles count="1">
    <cellStyle name="Normal" xfId="0" builtinId="0"/>
  </cellStyles>
  <dxfs count="54">
    <dxf>
      <numFmt numFmtId="164" formatCode="0.0"/>
    </dxf>
    <dxf>
      <numFmt numFmtId="1" formatCode="0"/>
    </dxf>
    <dxf>
      <numFmt numFmtId="1" formatCode="0"/>
    </dxf>
    <dxf>
      <numFmt numFmtId="1" formatCode="0"/>
    </dxf>
    <dxf>
      <numFmt numFmtId="164" formatCode="0.0"/>
    </dxf>
    <dxf>
      <numFmt numFmtId="1" formatCode="0"/>
    </dxf>
    <dxf>
      <numFmt numFmtId="1" formatCode="0"/>
    </dxf>
    <dxf>
      <numFmt numFmtId="1" formatCode="0"/>
    </dxf>
    <dxf>
      <numFmt numFmtId="164" formatCode="0.0"/>
    </dxf>
    <dxf>
      <numFmt numFmtId="1" formatCode="0"/>
    </dxf>
    <dxf>
      <numFmt numFmtId="1" formatCode="0"/>
    </dxf>
    <dxf>
      <numFmt numFmtId="1" formatCode="0"/>
    </dxf>
    <dxf>
      <numFmt numFmtId="164" formatCode="0.0"/>
    </dxf>
    <dxf>
      <numFmt numFmtId="1" formatCode="0"/>
    </dxf>
    <dxf>
      <numFmt numFmtId="1" formatCode="0"/>
    </dxf>
    <dxf>
      <numFmt numFmtId="1" formatCode="0"/>
    </dxf>
    <dxf>
      <numFmt numFmtId="164" formatCode="0.0"/>
    </dxf>
    <dxf>
      <numFmt numFmtId="1" formatCode="0"/>
    </dxf>
    <dxf>
      <numFmt numFmtId="1" formatCode="0"/>
    </dxf>
    <dxf>
      <numFmt numFmtId="1" formatCode="0"/>
    </dxf>
    <dxf>
      <numFmt numFmtId="164" formatCode="0.0"/>
    </dxf>
    <dxf>
      <numFmt numFmtId="1" formatCode="0"/>
    </dxf>
    <dxf>
      <numFmt numFmtId="1" formatCode="0"/>
    </dxf>
    <dxf>
      <numFmt numFmtId="1" formatCode="0"/>
    </dxf>
    <dxf>
      <numFmt numFmtId="164" formatCode="0.0"/>
    </dxf>
    <dxf>
      <numFmt numFmtId="1" formatCode="0"/>
    </dxf>
    <dxf>
      <numFmt numFmtId="1" formatCode="0"/>
    </dxf>
    <dxf>
      <numFmt numFmtId="1" formatCode="0"/>
    </dxf>
    <dxf>
      <numFmt numFmtId="164" formatCode="0.0"/>
    </dxf>
    <dxf>
      <numFmt numFmtId="1" formatCode="0"/>
    </dxf>
    <dxf>
      <numFmt numFmtId="1" formatCode="0"/>
    </dxf>
    <dxf>
      <numFmt numFmtId="1" formatCode="0"/>
    </dxf>
    <dxf>
      <numFmt numFmtId="164" formatCode="0.0"/>
    </dxf>
    <dxf>
      <numFmt numFmtId="1" formatCode="0"/>
    </dxf>
    <dxf>
      <numFmt numFmtId="1" formatCode="0"/>
    </dxf>
    <dxf>
      <numFmt numFmtId="1" formatCode="0"/>
    </dxf>
    <dxf>
      <numFmt numFmtId="164" formatCode="0.0"/>
    </dxf>
    <dxf>
      <numFmt numFmtId="1" formatCode="0"/>
    </dxf>
    <dxf>
      <numFmt numFmtId="1" formatCode="0"/>
    </dxf>
    <dxf>
      <numFmt numFmtId="1" formatCode="0"/>
    </dxf>
    <dxf>
      <numFmt numFmtId="164" formatCode="0.0"/>
    </dxf>
    <dxf>
      <numFmt numFmtId="1" formatCode="0"/>
    </dxf>
    <dxf>
      <numFmt numFmtId="1" formatCode="0"/>
    </dxf>
    <dxf>
      <numFmt numFmtId="1" formatCode="0"/>
    </dxf>
    <dxf>
      <numFmt numFmtId="164" formatCode="0.0"/>
    </dxf>
    <dxf>
      <numFmt numFmtId="1" formatCode="0"/>
    </dxf>
    <dxf>
      <numFmt numFmtId="1" formatCode="0"/>
    </dxf>
    <dxf>
      <numFmt numFmtId="1" formatCode="0"/>
    </dxf>
    <dxf>
      <numFmt numFmtId="1" formatCode="0"/>
    </dxf>
    <dxf>
      <numFmt numFmtId="0" formatCode="General"/>
    </dxf>
    <dxf>
      <numFmt numFmtId="1" formatCode="0"/>
    </dxf>
    <dxf>
      <numFmt numFmtId="1" formatCode="0"/>
    </dxf>
    <dxf>
      <numFmt numFmtId="164" formatCode="0.0"/>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powerPivotData" Target="model/item.data"/><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microsoft.com/office/2007/relationships/slicerCache" Target="slicerCaches/slicerCache2.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[apple dashboard.xlsx]Sum of Sale Price!High sale</c:name>
    <c:fmtId val="7"/>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Highest Sale Price </a:t>
            </a:r>
          </a:p>
        </c:rich>
      </c:tx>
      <c:layout>
        <c:manualLayout>
          <c:xMode val="edge"/>
          <c:yMode val="edge"/>
          <c:x val="0.46730587848793465"/>
          <c:y val="4.4235124815005598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4754365327483459"/>
          <c:y val="0.16223443253393946"/>
          <c:w val="0.50831099006298508"/>
          <c:h val="0.72285290662654711"/>
        </c:manualLayout>
      </c:layout>
      <c:barChart>
        <c:barDir val="bar"/>
        <c:grouping val="stacked"/>
        <c:varyColors val="0"/>
        <c:ser>
          <c:idx val="0"/>
          <c:order val="0"/>
          <c:tx>
            <c:strRef>
              <c:f>'Sum of Sale Price'!$B$3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'Sum of Sale Price'!$A$4:$A$11</c:f>
              <c:strCache>
                <c:ptCount val="8"/>
                <c:pt idx="0">
                  <c:v>APPLE iPhone 12 Pro (Pacific Blue, 512 GB)</c:v>
                </c:pt>
                <c:pt idx="1">
                  <c:v>APPLE iPhone 12 Pro (Silver, 512 GB)</c:v>
                </c:pt>
                <c:pt idx="2">
                  <c:v>APPLE iPhone 11 Pro Max (Gold, 256 GB)</c:v>
                </c:pt>
                <c:pt idx="3">
                  <c:v>APPLE iPhone 11 Pro Max (Midnight Green, 256 GB)</c:v>
                </c:pt>
                <c:pt idx="4">
                  <c:v>APPLE iPhone 12 Pro Max (Silver, 256 GB)</c:v>
                </c:pt>
                <c:pt idx="5">
                  <c:v>APPLE iPhone 12 Pro Max (Pacific Blue, 256 GB)</c:v>
                </c:pt>
                <c:pt idx="6">
                  <c:v>APPLE iPhone 12 Pro Max (Graphite, 256 GB)</c:v>
                </c:pt>
                <c:pt idx="7">
                  <c:v>APPLE iPhone 12 Pro Max (Gold, 256 GB)</c:v>
                </c:pt>
              </c:strCache>
            </c:strRef>
          </c:cat>
          <c:val>
            <c:numRef>
              <c:f>'Sum of Sale Price'!$B$4:$B$11</c:f>
              <c:numCache>
                <c:formatCode>General</c:formatCode>
                <c:ptCount val="8"/>
                <c:pt idx="0">
                  <c:v>140900</c:v>
                </c:pt>
                <c:pt idx="1">
                  <c:v>140900</c:v>
                </c:pt>
                <c:pt idx="2">
                  <c:v>131900</c:v>
                </c:pt>
                <c:pt idx="3">
                  <c:v>131900</c:v>
                </c:pt>
                <c:pt idx="4">
                  <c:v>130900</c:v>
                </c:pt>
                <c:pt idx="5">
                  <c:v>130900</c:v>
                </c:pt>
                <c:pt idx="6">
                  <c:v>130900</c:v>
                </c:pt>
                <c:pt idx="7">
                  <c:v>130900</c:v>
                </c:pt>
              </c:numCache>
            </c:numRef>
          </c:val>
          <c:extLst>
            <c:ext xmlns:c16="http://schemas.microsoft.com/office/drawing/2014/chart" uri="{C3380CC4-5D6E-409C-BE32-E72D297353CC}">
              <c16:uniqueId val="{00000000-6A56-4EA6-8E92-AB4983794B40}"/>
            </c:ext>
          </c:extLst>
        </c:ser>
        <c:dLbls>
          <c:dLblPos val="ctr"/>
          <c:showLegendKey val="0"/>
          <c:showVal val="1"/>
          <c:showCatName val="0"/>
          <c:showSerName val="0"/>
          <c:showPercent val="0"/>
          <c:showBubbleSize val="0"/>
        </c:dLbls>
        <c:gapWidth val="106"/>
        <c:overlap val="100"/>
        <c:axId val="1673720576"/>
        <c:axId val="1673709056"/>
      </c:barChart>
      <c:catAx>
        <c:axId val="1673720576"/>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3709056"/>
        <c:crosses val="autoZero"/>
        <c:auto val="1"/>
        <c:lblAlgn val="ctr"/>
        <c:lblOffset val="100"/>
        <c:noMultiLvlLbl val="0"/>
      </c:catAx>
      <c:valAx>
        <c:axId val="1673709056"/>
        <c:scaling>
          <c:orientation val="minMax"/>
        </c:scaling>
        <c:delete val="0"/>
        <c:axPos val="b"/>
        <c:numFmt formatCode="0.0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3720576"/>
        <c:crosses val="autoZero"/>
        <c:crossBetween val="between"/>
      </c:valAx>
      <c:spPr>
        <a:noFill/>
        <a:ln>
          <a:noFill/>
        </a:ln>
        <a:effectLst/>
      </c:spPr>
    </c:plotArea>
    <c:legend>
      <c:legendPos val="r"/>
      <c:layout>
        <c:manualLayout>
          <c:xMode val="edge"/>
          <c:yMode val="edge"/>
          <c:x val="0.89253770095696316"/>
          <c:y val="3.659468578888702E-2"/>
          <c:w val="8.0544398639268336E-2"/>
          <c:h val="5.0623461786902794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[apple dashboard.xlsx]Average of Sale Price!Average of Sale Price</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Avg.</a:t>
            </a:r>
            <a:r>
              <a:rPr lang="en-US" baseline="0"/>
              <a:t> Sales by Ram</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'Average of Sale Price'!$B$3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'Average of Sale Price'!$A$4:$A$7</c:f>
              <c:strCache>
                <c:ptCount val="4"/>
                <c:pt idx="0">
                  <c:v>2 GB</c:v>
                </c:pt>
                <c:pt idx="1">
                  <c:v>3 GB</c:v>
                </c:pt>
                <c:pt idx="2">
                  <c:v>4 GB</c:v>
                </c:pt>
                <c:pt idx="3">
                  <c:v>6 GB</c:v>
                </c:pt>
              </c:strCache>
            </c:strRef>
          </c:cat>
          <c:val>
            <c:numRef>
              <c:f>'Average of Sale Price'!$B$4:$B$7</c:f>
              <c:numCache>
                <c:formatCode>0</c:formatCode>
                <c:ptCount val="4"/>
                <c:pt idx="0">
                  <c:v>56191.923076923078</c:v>
                </c:pt>
                <c:pt idx="1">
                  <c:v>41999</c:v>
                </c:pt>
                <c:pt idx="2">
                  <c:v>77965.068965517246</c:v>
                </c:pt>
                <c:pt idx="3">
                  <c:v>101636.84210526316</c:v>
                </c:pt>
              </c:numCache>
            </c:numRef>
          </c:val>
          <c:extLst>
            <c:ext xmlns:c16="http://schemas.microsoft.com/office/drawing/2014/chart" uri="{C3380CC4-5D6E-409C-BE32-E72D297353CC}">
              <c16:uniqueId val="{00000000-4B8D-444D-ACCF-13D98F221DFD}"/>
            </c:ext>
          </c:extLst>
        </c:ser>
        <c:dLbls>
          <c:showLegendKey val="0"/>
          <c:showVal val="0"/>
          <c:showCatName val="0"/>
          <c:showSerName val="0"/>
          <c:showPercent val="0"/>
          <c:showBubbleSize val="0"/>
        </c:dLbls>
        <c:gapWidth val="279"/>
        <c:overlap val="-24"/>
        <c:axId val="1523067536"/>
        <c:axId val="1580424720"/>
      </c:barChart>
      <c:catAx>
        <c:axId val="152306753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1580424720"/>
        <c:crosses val="autoZero"/>
        <c:auto val="1"/>
        <c:lblAlgn val="ctr"/>
        <c:lblOffset val="100"/>
        <c:noMultiLvlLbl val="0"/>
      </c:catAx>
      <c:valAx>
        <c:axId val="1580424720"/>
        <c:scaling>
          <c:orientation val="minMax"/>
        </c:scaling>
        <c:delete val="0"/>
        <c:axPos val="l"/>
        <c:numFmt formatCode="0.00,&quot;k&quot;" sourceLinked="0"/>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15230675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[apple dashboard.xlsx]Highest Discount Amount!PivotTable2</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Highest Discount Amount</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'Highest Discount Amount'!$B$3</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'Highest Discount Amount'!$A$4:$A$8</c:f>
              <c:strCache>
                <c:ptCount val="5"/>
                <c:pt idx="0">
                  <c:v>APPLE iPhone 11 Pro (Midnight Green, 64 GB)</c:v>
                </c:pt>
                <c:pt idx="1">
                  <c:v>APPLE iPhone 11 Pro (Midnight Green, 512 GB)</c:v>
                </c:pt>
                <c:pt idx="2">
                  <c:v>APPLE iPhone 11 Pro (Space Grey, 512 GB)</c:v>
                </c:pt>
                <c:pt idx="3">
                  <c:v>APPLE iPhone 11 Pro (Space Grey, 256 GB)</c:v>
                </c:pt>
                <c:pt idx="4">
                  <c:v>Apple iPhone XR ((PRODUCT)RED, 128 GB) (Includes EarPods, Power Adapter)</c:v>
                </c:pt>
              </c:strCache>
            </c:strRef>
          </c:cat>
          <c:val>
            <c:numRef>
              <c:f>'Highest Discount Amount'!$B$4:$B$8</c:f>
              <c:numCache>
                <c:formatCode>General</c:formatCode>
                <c:ptCount val="5"/>
                <c:pt idx="0">
                  <c:v>31601</c:v>
                </c:pt>
                <c:pt idx="1">
                  <c:v>22400</c:v>
                </c:pt>
                <c:pt idx="2">
                  <c:v>22400</c:v>
                </c:pt>
                <c:pt idx="3">
                  <c:v>21400</c:v>
                </c:pt>
                <c:pt idx="4">
                  <c:v>10901</c:v>
                </c:pt>
              </c:numCache>
            </c:numRef>
          </c:val>
          <c:smooth val="0"/>
          <c:extLst>
            <c:ext xmlns:c16="http://schemas.microsoft.com/office/drawing/2014/chart" uri="{C3380CC4-5D6E-409C-BE32-E72D297353CC}">
              <c16:uniqueId val="{00000000-9873-4AF9-A6AC-6170600CCE0D}"/>
            </c:ext>
          </c:extLst>
        </c:ser>
        <c:dLbls>
          <c:dLblPos val="t"/>
          <c:showLegendKey val="0"/>
          <c:showVal val="1"/>
          <c:showCatName val="0"/>
          <c:showSerName val="0"/>
          <c:showPercent val="0"/>
          <c:showBubbleSize val="0"/>
        </c:dLbls>
        <c:marker val="1"/>
        <c:smooth val="0"/>
        <c:axId val="303797007"/>
        <c:axId val="303799887"/>
      </c:lineChart>
      <c:catAx>
        <c:axId val="303797007"/>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3799887"/>
        <c:crosses val="autoZero"/>
        <c:auto val="1"/>
        <c:lblAlgn val="ctr"/>
        <c:lblOffset val="100"/>
        <c:noMultiLvlLbl val="0"/>
      </c:catAx>
      <c:valAx>
        <c:axId val="30379988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37970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[apple dashboard.xlsx]Highest No. of Rating!PivotTable3</c:name>
    <c:fmtId val="9"/>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Highest No. of Rating </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'Highest No. of Rating'!$B$3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'Highest No. of Rating'!$A$4:$A$8</c:f>
              <c:strCache>
                <c:ptCount val="5"/>
                <c:pt idx="0">
                  <c:v>Apple iPhone SE (White, 256 GB) (Includes EarPods, Power Adapter)</c:v>
                </c:pt>
                <c:pt idx="1">
                  <c:v>APPLE iPhone SE (Black, 128 GB)</c:v>
                </c:pt>
                <c:pt idx="2">
                  <c:v>APPLE iPhone SE (Black, 64 GB)</c:v>
                </c:pt>
                <c:pt idx="3">
                  <c:v>APPLE iPhone SE (Red, 128 GB)</c:v>
                </c:pt>
                <c:pt idx="4">
                  <c:v>APPLE iPhone SE (White, 128 GB)</c:v>
                </c:pt>
              </c:strCache>
            </c:strRef>
          </c:cat>
          <c:val>
            <c:numRef>
              <c:f>'Highest No. of Rating'!$B$4:$B$8</c:f>
              <c:numCache>
                <c:formatCode>General</c:formatCode>
                <c:ptCount val="5"/>
                <c:pt idx="0">
                  <c:v>95909</c:v>
                </c:pt>
                <c:pt idx="1">
                  <c:v>95909</c:v>
                </c:pt>
                <c:pt idx="2">
                  <c:v>95909</c:v>
                </c:pt>
                <c:pt idx="3">
                  <c:v>95909</c:v>
                </c:pt>
                <c:pt idx="4">
                  <c:v>95807</c:v>
                </c:pt>
              </c:numCache>
            </c:numRef>
          </c:val>
          <c:extLst>
            <c:ext xmlns:c16="http://schemas.microsoft.com/office/drawing/2014/chart" uri="{C3380CC4-5D6E-409C-BE32-E72D297353CC}">
              <c16:uniqueId val="{00000000-DD78-4BA3-AC58-B65912506F25}"/>
            </c:ext>
          </c:extLst>
        </c:ser>
        <c:dLbls>
          <c:dLblPos val="outEnd"/>
          <c:showLegendKey val="0"/>
          <c:showVal val="1"/>
          <c:showCatName val="0"/>
          <c:showSerName val="0"/>
          <c:showPercent val="0"/>
          <c:showBubbleSize val="0"/>
        </c:dLbls>
        <c:gapWidth val="115"/>
        <c:overlap val="-20"/>
        <c:axId val="1549783552"/>
        <c:axId val="1549784032"/>
      </c:barChart>
      <c:catAx>
        <c:axId val="1549783552"/>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549784032"/>
        <c:crosses val="autoZero"/>
        <c:auto val="1"/>
        <c:lblAlgn val="ctr"/>
        <c:lblOffset val="100"/>
        <c:noMultiLvlLbl val="0"/>
      </c:catAx>
      <c:valAx>
        <c:axId val="1549784032"/>
        <c:scaling>
          <c:orientation val="minMax"/>
        </c:scaling>
        <c:delete val="0"/>
        <c:axPos val="b"/>
        <c:numFmt formatCode="0.00,&quot;K&quot;"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5497835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[apple dashboard.xlsx]Avg. of Star Rating !PivotTable4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effectLst/>
              </a:rPr>
              <a:t>Avg. of Star Rating</a:t>
            </a:r>
            <a:r>
              <a:rPr lang="en-IN" sz="1400" b="0" i="0" u="none" strike="noStrike" baseline="0"/>
              <a:t>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doughnutChart>
        <c:varyColors val="1"/>
        <c:ser>
          <c:idx val="0"/>
          <c:order val="0"/>
          <c:tx>
            <c:strRef>
              <c:f>'Avg. of Star Rating '!$B$3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03C-4970-9E00-5B2FA4343EE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03C-4970-9E00-5B2FA4343EE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03C-4970-9E00-5B2FA4343EE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03C-4970-9E00-5B2FA4343EEA}"/>
              </c:ext>
            </c:extLst>
          </c:dPt>
          <c:dLbls>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'Avg. of Star Rating '!$A$4:$A$7</c:f>
              <c:strCache>
                <c:ptCount val="4"/>
                <c:pt idx="0">
                  <c:v>2 GB</c:v>
                </c:pt>
                <c:pt idx="1">
                  <c:v>3 GB</c:v>
                </c:pt>
                <c:pt idx="2">
                  <c:v>4 GB</c:v>
                </c:pt>
                <c:pt idx="3">
                  <c:v>6 GB</c:v>
                </c:pt>
              </c:strCache>
            </c:strRef>
          </c:cat>
          <c:val>
            <c:numRef>
              <c:f>'Avg. of Star Rating '!$B$4:$B$7</c:f>
              <c:numCache>
                <c:formatCode>0.0</c:formatCode>
                <c:ptCount val="4"/>
                <c:pt idx="0">
                  <c:v>4.5384615384615383</c:v>
                </c:pt>
                <c:pt idx="1">
                  <c:v>4.5999999999999996</c:v>
                </c:pt>
                <c:pt idx="2">
                  <c:v>4.5896551724137922</c:v>
                </c:pt>
                <c:pt idx="3">
                  <c:v>4.5789473684210522</c:v>
                </c:pt>
              </c:numCache>
            </c:numRef>
          </c:val>
          <c:extLst>
            <c:ext xmlns:c16="http://schemas.microsoft.com/office/drawing/2014/chart" uri="{C3380CC4-5D6E-409C-BE32-E72D297353CC}">
              <c16:uniqueId val="{00000000-4872-4A05-8574-25C1A0F2BB39}"/>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87355964791176732"/>
          <c:y val="7.0529505611106547E-2"/>
          <c:w val="8.1863829057029089E-2"/>
          <c:h val="0.2595173873162048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[apple dashboard.xlsx]Avilable Product!Avilable Product</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sz="1600" b="1" i="0" u="none" strike="noStrike" baseline="0">
                <a:effectLst/>
              </a:rPr>
              <a:t>Avilable Product</a:t>
            </a:r>
            <a:r>
              <a:rPr lang="en-IN" sz="1600" b="1" i="0" u="none" strike="noStrike" baseline="0"/>
              <a:t> </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'Avilable Product'!$B$3</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'Avilable Product'!$A$4:$A$7</c:f>
              <c:strCache>
                <c:ptCount val="4"/>
                <c:pt idx="0">
                  <c:v>2 GB</c:v>
                </c:pt>
                <c:pt idx="1">
                  <c:v>3 GB</c:v>
                </c:pt>
                <c:pt idx="2">
                  <c:v>4 GB</c:v>
                </c:pt>
                <c:pt idx="3">
                  <c:v>6 GB</c:v>
                </c:pt>
              </c:strCache>
            </c:strRef>
          </c:cat>
          <c:val>
            <c:numRef>
              <c:f>'Avilable Product'!$B$4:$B$7</c:f>
              <c:numCache>
                <c:formatCode>General</c:formatCode>
                <c:ptCount val="4"/>
                <c:pt idx="0">
                  <c:v>13</c:v>
                </c:pt>
                <c:pt idx="1">
                  <c:v>1</c:v>
                </c:pt>
                <c:pt idx="2">
                  <c:v>29</c:v>
                </c:pt>
                <c:pt idx="3">
                  <c:v>19</c:v>
                </c:pt>
              </c:numCache>
            </c:numRef>
          </c:val>
          <c:smooth val="0"/>
          <c:extLst>
            <c:ext xmlns:c16="http://schemas.microsoft.com/office/drawing/2014/chart" uri="{C3380CC4-5D6E-409C-BE32-E72D297353CC}">
              <c16:uniqueId val="{00000000-30C0-4425-8CEB-36276D81DAF2}"/>
            </c:ext>
          </c:extLst>
        </c:ser>
        <c:dLbls>
          <c:dLblPos val="t"/>
          <c:showLegendKey val="0"/>
          <c:showVal val="1"/>
          <c:showCatName val="0"/>
          <c:showSerName val="0"/>
          <c:showPercent val="0"/>
          <c:showBubbleSize val="0"/>
        </c:dLbls>
        <c:marker val="1"/>
        <c:smooth val="0"/>
        <c:axId val="527727311"/>
        <c:axId val="527722511"/>
      </c:lineChart>
      <c:catAx>
        <c:axId val="527727311"/>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7722511"/>
        <c:crosses val="autoZero"/>
        <c:auto val="1"/>
        <c:lblAlgn val="ctr"/>
        <c:lblOffset val="100"/>
        <c:noMultiLvlLbl val="0"/>
      </c:catAx>
      <c:valAx>
        <c:axId val="52772251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7727311"/>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[apple dashboard.xlsx]Average of Discount Percentage!Avg. discount</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effectLst/>
              </a:rPr>
              <a:t>Avg. of Discount Percentage</a:t>
            </a:r>
            <a:r>
              <a:rPr lang="en-IN" sz="1400" b="0" i="0" u="none" strike="noStrike" baseline="0"/>
              <a:t>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doughnutChart>
        <c:varyColors val="1"/>
        <c:ser>
          <c:idx val="0"/>
          <c:order val="0"/>
          <c:tx>
            <c:strRef>
              <c:f>'Average of Discount Percentage'!$B$3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E88C-4082-A78D-4AE99EE1F9D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44C-4626-9426-C48F9FB38D4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44C-4626-9426-C48F9FB38D4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3-E88C-4082-A78D-4AE99EE1F9D4}"/>
              </c:ext>
            </c:extLst>
          </c:dPt>
          <c:dLbls>
            <c:spPr>
              <a:solidFill>
                <a:schemeClr val="bg1"/>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'Average of Discount Percentage'!$A$4:$A$7</c:f>
              <c:strCache>
                <c:ptCount val="4"/>
                <c:pt idx="0">
                  <c:v>2 GB</c:v>
                </c:pt>
                <c:pt idx="1">
                  <c:v>3 GB</c:v>
                </c:pt>
                <c:pt idx="2">
                  <c:v>4 GB</c:v>
                </c:pt>
                <c:pt idx="3">
                  <c:v>6 GB</c:v>
                </c:pt>
              </c:strCache>
            </c:strRef>
          </c:cat>
          <c:val>
            <c:numRef>
              <c:f>'Average of Discount Percentage'!$B$4:$B$7</c:f>
              <c:numCache>
                <c:formatCode>0</c:formatCode>
                <c:ptCount val="4"/>
                <c:pt idx="0">
                  <c:v>8.3076923076923084</c:v>
                </c:pt>
                <c:pt idx="1">
                  <c:v>20</c:v>
                </c:pt>
                <c:pt idx="2">
                  <c:v>11.551724137931034</c:v>
                </c:pt>
                <c:pt idx="3">
                  <c:v>8.1052631578947363</c:v>
                </c:pt>
              </c:numCache>
            </c:numRef>
          </c:val>
          <c:extLst>
            <c:ext xmlns:c16="http://schemas.microsoft.com/office/drawing/2014/chart" uri="{C3380CC4-5D6E-409C-BE32-E72D297353CC}">
              <c16:uniqueId val="{00000000-E88C-4082-A78D-4AE99EE1F9D4}"/>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[apple dashboard.xlsx]Averag Sale Price!PivotTable7</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Avg. of Sale Price </a:t>
            </a:r>
            <a:endParaRPr lang="en-US"/>
          </a:p>
        </c:rich>
      </c:tx>
      <c:layout>
        <c:manualLayout>
          <c:xMode val="edge"/>
          <c:yMode val="edge"/>
          <c:x val="0.32027777777777777"/>
          <c:y val="5.0925925925925923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'Averag Sale Price'!$B$3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891B-48ED-88C4-261286DC0355}"/>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891B-48ED-88C4-261286DC0355}"/>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891B-48ED-88C4-261286DC0355}"/>
              </c:ext>
            </c:extLst>
          </c:dPt>
          <c:dLbls>
            <c:spPr>
              <a:solidFill>
                <a:schemeClr val="bg1"/>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'Averag Sale Price'!$A$4:$A$6</c:f>
              <c:strCache>
                <c:ptCount val="3"/>
                <c:pt idx="0">
                  <c:v>4.7</c:v>
                </c:pt>
                <c:pt idx="1">
                  <c:v>4.6</c:v>
                </c:pt>
                <c:pt idx="2">
                  <c:v>4.5</c:v>
                </c:pt>
              </c:strCache>
            </c:strRef>
          </c:cat>
          <c:val>
            <c:numRef>
              <c:f>'Averag Sale Price'!$B$4:$B$6</c:f>
              <c:numCache>
                <c:formatCode>0</c:formatCode>
                <c:ptCount val="3"/>
                <c:pt idx="0">
                  <c:v>123020</c:v>
                </c:pt>
                <c:pt idx="1">
                  <c:v>78637.486486486479</c:v>
                </c:pt>
                <c:pt idx="2">
                  <c:v>71994.7</c:v>
                </c:pt>
              </c:numCache>
            </c:numRef>
          </c:val>
          <c:extLst>
            <c:ext xmlns:c16="http://schemas.microsoft.com/office/drawing/2014/chart" uri="{C3380CC4-5D6E-409C-BE32-E72D297353CC}">
              <c16:uniqueId val="{00000000-D6E7-4C05-99D7-5CEE57693E83}"/>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[apple dashboard.xlsx]Sum of Sale Price!High sale</c:name>
    <c:fmtId val="1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Highest Sale Price </a:t>
            </a:r>
          </a:p>
        </c:rich>
      </c:tx>
      <c:layout>
        <c:manualLayout>
          <c:xMode val="edge"/>
          <c:yMode val="edge"/>
          <c:x val="0.27815536708874994"/>
          <c:y val="4.4235029131996798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1805965326542988"/>
          <c:y val="0.15889126089042999"/>
          <c:w val="0.50831087398623054"/>
          <c:h val="0.72285290662654711"/>
        </c:manualLayout>
      </c:layout>
      <c:barChart>
        <c:barDir val="bar"/>
        <c:grouping val="stacked"/>
        <c:varyColors val="0"/>
        <c:ser>
          <c:idx val="0"/>
          <c:order val="0"/>
          <c:tx>
            <c:strRef>
              <c:f>'Sum of Sale Price'!$B$3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'Sum of Sale Price'!$A$4:$A$11</c:f>
              <c:strCache>
                <c:ptCount val="8"/>
                <c:pt idx="0">
                  <c:v>APPLE iPhone 12 Pro (Pacific Blue, 512 GB)</c:v>
                </c:pt>
                <c:pt idx="1">
                  <c:v>APPLE iPhone 12 Pro (Silver, 512 GB)</c:v>
                </c:pt>
                <c:pt idx="2">
                  <c:v>APPLE iPhone 11 Pro Max (Gold, 256 GB)</c:v>
                </c:pt>
                <c:pt idx="3">
                  <c:v>APPLE iPhone 11 Pro Max (Midnight Green, 256 GB)</c:v>
                </c:pt>
                <c:pt idx="4">
                  <c:v>APPLE iPhone 12 Pro Max (Silver, 256 GB)</c:v>
                </c:pt>
                <c:pt idx="5">
                  <c:v>APPLE iPhone 12 Pro Max (Pacific Blue, 256 GB)</c:v>
                </c:pt>
                <c:pt idx="6">
                  <c:v>APPLE iPhone 12 Pro Max (Graphite, 256 GB)</c:v>
                </c:pt>
                <c:pt idx="7">
                  <c:v>APPLE iPhone 12 Pro Max (Gold, 256 GB)</c:v>
                </c:pt>
              </c:strCache>
            </c:strRef>
          </c:cat>
          <c:val>
            <c:numRef>
              <c:f>'Sum of Sale Price'!$B$4:$B$11</c:f>
              <c:numCache>
                <c:formatCode>General</c:formatCode>
                <c:ptCount val="8"/>
                <c:pt idx="0">
                  <c:v>140900</c:v>
                </c:pt>
                <c:pt idx="1">
                  <c:v>140900</c:v>
                </c:pt>
                <c:pt idx="2">
                  <c:v>131900</c:v>
                </c:pt>
                <c:pt idx="3">
                  <c:v>131900</c:v>
                </c:pt>
                <c:pt idx="4">
                  <c:v>130900</c:v>
                </c:pt>
                <c:pt idx="5">
                  <c:v>130900</c:v>
                </c:pt>
                <c:pt idx="6">
                  <c:v>130900</c:v>
                </c:pt>
                <c:pt idx="7">
                  <c:v>130900</c:v>
                </c:pt>
              </c:numCache>
            </c:numRef>
          </c:val>
          <c:extLst>
            <c:ext xmlns:c16="http://schemas.microsoft.com/office/drawing/2014/chart" uri="{C3380CC4-5D6E-409C-BE32-E72D297353CC}">
              <c16:uniqueId val="{00000000-0AD5-4DC5-BA55-829686A079F1}"/>
            </c:ext>
          </c:extLst>
        </c:ser>
        <c:dLbls>
          <c:dLblPos val="ctr"/>
          <c:showLegendKey val="0"/>
          <c:showVal val="1"/>
          <c:showCatName val="0"/>
          <c:showSerName val="0"/>
          <c:showPercent val="0"/>
          <c:showBubbleSize val="0"/>
        </c:dLbls>
        <c:gapWidth val="106"/>
        <c:overlap val="100"/>
        <c:axId val="1673720576"/>
        <c:axId val="1673709056"/>
      </c:barChart>
      <c:catAx>
        <c:axId val="1673720576"/>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3709056"/>
        <c:crosses val="autoZero"/>
        <c:auto val="1"/>
        <c:lblAlgn val="ctr"/>
        <c:lblOffset val="100"/>
        <c:noMultiLvlLbl val="0"/>
      </c:catAx>
      <c:valAx>
        <c:axId val="1673709056"/>
        <c:scaling>
          <c:orientation val="minMax"/>
        </c:scaling>
        <c:delete val="0"/>
        <c:axPos val="b"/>
        <c:numFmt formatCode="0.0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3720576"/>
        <c:crosses val="autoZero"/>
        <c:crossBetween val="between"/>
      </c:valAx>
      <c:spPr>
        <a:noFill/>
        <a:ln>
          <a:noFill/>
        </a:ln>
        <a:effectLst/>
      </c:spPr>
    </c:plotArea>
    <c:legend>
      <c:legendPos val="r"/>
      <c:layout>
        <c:manualLayout>
          <c:xMode val="edge"/>
          <c:yMode val="edge"/>
          <c:x val="0.89253770095696316"/>
          <c:y val="3.659468578888702E-2"/>
          <c:w val="8.0544398639268336E-2"/>
          <c:h val="5.0623461786902794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[apple dashboard.xlsx]Average of Sale Price!Average of Sale Price</c:name>
    <c:fmtId val="6"/>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Avg.</a:t>
            </a:r>
            <a:r>
              <a:rPr lang="en-US" baseline="0"/>
              <a:t> Sales by Ram</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'Average of Sale Price'!$B$3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'Average of Sale Price'!$A$4:$A$7</c:f>
              <c:strCache>
                <c:ptCount val="4"/>
                <c:pt idx="0">
                  <c:v>2 GB</c:v>
                </c:pt>
                <c:pt idx="1">
                  <c:v>3 GB</c:v>
                </c:pt>
                <c:pt idx="2">
                  <c:v>4 GB</c:v>
                </c:pt>
                <c:pt idx="3">
                  <c:v>6 GB</c:v>
                </c:pt>
              </c:strCache>
            </c:strRef>
          </c:cat>
          <c:val>
            <c:numRef>
              <c:f>'Average of Sale Price'!$B$4:$B$7</c:f>
              <c:numCache>
                <c:formatCode>0</c:formatCode>
                <c:ptCount val="4"/>
                <c:pt idx="0">
                  <c:v>56191.923076923078</c:v>
                </c:pt>
                <c:pt idx="1">
                  <c:v>41999</c:v>
                </c:pt>
                <c:pt idx="2">
                  <c:v>77965.068965517246</c:v>
                </c:pt>
                <c:pt idx="3">
                  <c:v>101636.84210526316</c:v>
                </c:pt>
              </c:numCache>
            </c:numRef>
          </c:val>
          <c:extLst>
            <c:ext xmlns:c16="http://schemas.microsoft.com/office/drawing/2014/chart" uri="{C3380CC4-5D6E-409C-BE32-E72D297353CC}">
              <c16:uniqueId val="{00000000-FFE5-42BF-BE81-7AF0E728E765}"/>
            </c:ext>
          </c:extLst>
        </c:ser>
        <c:dLbls>
          <c:showLegendKey val="0"/>
          <c:showVal val="0"/>
          <c:showCatName val="0"/>
          <c:showSerName val="0"/>
          <c:showPercent val="0"/>
          <c:showBubbleSize val="0"/>
        </c:dLbls>
        <c:gapWidth val="279"/>
        <c:overlap val="-24"/>
        <c:axId val="1523067536"/>
        <c:axId val="1580424720"/>
      </c:barChart>
      <c:catAx>
        <c:axId val="152306753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1580424720"/>
        <c:crosses val="autoZero"/>
        <c:auto val="1"/>
        <c:lblAlgn val="ctr"/>
        <c:lblOffset val="100"/>
        <c:noMultiLvlLbl val="0"/>
      </c:catAx>
      <c:valAx>
        <c:axId val="1580424720"/>
        <c:scaling>
          <c:orientation val="minMax"/>
        </c:scaling>
        <c:delete val="0"/>
        <c:axPos val="l"/>
        <c:numFmt formatCode="0.00,&quot;k&quot;" sourceLinked="0"/>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15230675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[apple dashboard.xlsx]Highest Discount Amount!PivotTable2</c:name>
    <c:fmtId val="6"/>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Highest Discount Amount</a:t>
            </a:r>
          </a:p>
        </c:rich>
      </c:tx>
      <c:layout>
        <c:manualLayout>
          <c:xMode val="edge"/>
          <c:yMode val="edge"/>
          <c:x val="8.3658537362705163E-2"/>
          <c:y val="2.888903428225063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054223788355694"/>
          <c:y val="0.26615066038744445"/>
          <c:w val="0.81528004662159492"/>
          <c:h val="0.4432745108980522"/>
        </c:manualLayout>
      </c:layout>
      <c:lineChart>
        <c:grouping val="standard"/>
        <c:varyColors val="0"/>
        <c:ser>
          <c:idx val="0"/>
          <c:order val="0"/>
          <c:tx>
            <c:strRef>
              <c:f>'Highest Discount Amount'!$B$3</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'Highest Discount Amount'!$A$4:$A$8</c:f>
              <c:strCache>
                <c:ptCount val="5"/>
                <c:pt idx="0">
                  <c:v>APPLE iPhone 11 Pro (Midnight Green, 64 GB)</c:v>
                </c:pt>
                <c:pt idx="1">
                  <c:v>APPLE iPhone 11 Pro (Midnight Green, 512 GB)</c:v>
                </c:pt>
                <c:pt idx="2">
                  <c:v>APPLE iPhone 11 Pro (Space Grey, 512 GB)</c:v>
                </c:pt>
                <c:pt idx="3">
                  <c:v>APPLE iPhone 11 Pro (Space Grey, 256 GB)</c:v>
                </c:pt>
                <c:pt idx="4">
                  <c:v>Apple iPhone XR ((PRODUCT)RED, 128 GB) (Includes EarPods, Power Adapter)</c:v>
                </c:pt>
              </c:strCache>
            </c:strRef>
          </c:cat>
          <c:val>
            <c:numRef>
              <c:f>'Highest Discount Amount'!$B$4:$B$8</c:f>
              <c:numCache>
                <c:formatCode>General</c:formatCode>
                <c:ptCount val="5"/>
                <c:pt idx="0">
                  <c:v>31601</c:v>
                </c:pt>
                <c:pt idx="1">
                  <c:v>22400</c:v>
                </c:pt>
                <c:pt idx="2">
                  <c:v>22400</c:v>
                </c:pt>
                <c:pt idx="3">
                  <c:v>21400</c:v>
                </c:pt>
                <c:pt idx="4">
                  <c:v>10901</c:v>
                </c:pt>
              </c:numCache>
            </c:numRef>
          </c:val>
          <c:smooth val="0"/>
          <c:extLst>
            <c:ext xmlns:c16="http://schemas.microsoft.com/office/drawing/2014/chart" uri="{C3380CC4-5D6E-409C-BE32-E72D297353CC}">
              <c16:uniqueId val="{00000000-5BC5-4820-9DC2-5AEEF546507D}"/>
            </c:ext>
          </c:extLst>
        </c:ser>
        <c:dLbls>
          <c:dLblPos val="t"/>
          <c:showLegendKey val="0"/>
          <c:showVal val="1"/>
          <c:showCatName val="0"/>
          <c:showSerName val="0"/>
          <c:showPercent val="0"/>
          <c:showBubbleSize val="0"/>
        </c:dLbls>
        <c:marker val="1"/>
        <c:smooth val="0"/>
        <c:axId val="303797007"/>
        <c:axId val="303799887"/>
      </c:lineChart>
      <c:catAx>
        <c:axId val="303797007"/>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3799887"/>
        <c:crosses val="autoZero"/>
        <c:auto val="1"/>
        <c:lblAlgn val="ctr"/>
        <c:lblOffset val="100"/>
        <c:noMultiLvlLbl val="0"/>
      </c:catAx>
      <c:valAx>
        <c:axId val="30379988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3797007"/>
        <c:crosses val="autoZero"/>
        <c:crossBetween val="between"/>
      </c:valAx>
      <c:spPr>
        <a:noFill/>
        <a:ln>
          <a:noFill/>
        </a:ln>
        <a:effectLst/>
      </c:spPr>
    </c:plotArea>
    <c:legend>
      <c:legendPos val="r"/>
      <c:layout>
        <c:manualLayout>
          <c:xMode val="edge"/>
          <c:yMode val="edge"/>
          <c:x val="0.75462526615833525"/>
          <c:y val="2.9355671769973652E-3"/>
          <c:w val="0.22329682170671414"/>
          <c:h val="0.2028006281244147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[apple dashboard.xlsx]Highest No. of Rating!PivotTable3</c:name>
    <c:fmtId val="15"/>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Highest No. of Rating </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7408280734570265"/>
          <c:y val="0.19192907779185087"/>
          <c:w val="0.50269574404962125"/>
          <c:h val="0.69543691944561159"/>
        </c:manualLayout>
      </c:layout>
      <c:barChart>
        <c:barDir val="bar"/>
        <c:grouping val="clustered"/>
        <c:varyColors val="0"/>
        <c:ser>
          <c:idx val="0"/>
          <c:order val="0"/>
          <c:tx>
            <c:strRef>
              <c:f>'Highest No. of Rating'!$B$3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'Highest No. of Rating'!$A$4:$A$8</c:f>
              <c:strCache>
                <c:ptCount val="5"/>
                <c:pt idx="0">
                  <c:v>Apple iPhone SE (White, 256 GB) (Includes EarPods, Power Adapter)</c:v>
                </c:pt>
                <c:pt idx="1">
                  <c:v>APPLE iPhone SE (Black, 128 GB)</c:v>
                </c:pt>
                <c:pt idx="2">
                  <c:v>APPLE iPhone SE (Black, 64 GB)</c:v>
                </c:pt>
                <c:pt idx="3">
                  <c:v>APPLE iPhone SE (Red, 128 GB)</c:v>
                </c:pt>
                <c:pt idx="4">
                  <c:v>APPLE iPhone SE (White, 128 GB)</c:v>
                </c:pt>
              </c:strCache>
            </c:strRef>
          </c:cat>
          <c:val>
            <c:numRef>
              <c:f>'Highest No. of Rating'!$B$4:$B$8</c:f>
              <c:numCache>
                <c:formatCode>General</c:formatCode>
                <c:ptCount val="5"/>
                <c:pt idx="0">
                  <c:v>95909</c:v>
                </c:pt>
                <c:pt idx="1">
                  <c:v>95909</c:v>
                </c:pt>
                <c:pt idx="2">
                  <c:v>95909</c:v>
                </c:pt>
                <c:pt idx="3">
                  <c:v>95909</c:v>
                </c:pt>
                <c:pt idx="4">
                  <c:v>95807</c:v>
                </c:pt>
              </c:numCache>
            </c:numRef>
          </c:val>
          <c:extLst>
            <c:ext xmlns:c16="http://schemas.microsoft.com/office/drawing/2014/chart" uri="{C3380CC4-5D6E-409C-BE32-E72D297353CC}">
              <c16:uniqueId val="{00000000-2D37-423C-8283-3D9B55A6CCFF}"/>
            </c:ext>
          </c:extLst>
        </c:ser>
        <c:dLbls>
          <c:dLblPos val="outEnd"/>
          <c:showLegendKey val="0"/>
          <c:showVal val="1"/>
          <c:showCatName val="0"/>
          <c:showSerName val="0"/>
          <c:showPercent val="0"/>
          <c:showBubbleSize val="0"/>
        </c:dLbls>
        <c:gapWidth val="115"/>
        <c:overlap val="-20"/>
        <c:axId val="1549783552"/>
        <c:axId val="1549784032"/>
      </c:barChart>
      <c:catAx>
        <c:axId val="1549783552"/>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549784032"/>
        <c:crosses val="autoZero"/>
        <c:auto val="1"/>
        <c:lblAlgn val="ctr"/>
        <c:lblOffset val="100"/>
        <c:noMultiLvlLbl val="0"/>
      </c:catAx>
      <c:valAx>
        <c:axId val="1549784032"/>
        <c:scaling>
          <c:orientation val="minMax"/>
        </c:scaling>
        <c:delete val="0"/>
        <c:axPos val="b"/>
        <c:numFmt formatCode="0.00,&quot;K&quot;"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549783552"/>
        <c:crosses val="autoZero"/>
        <c:crossBetween val="between"/>
      </c:valAx>
      <c:spPr>
        <a:noFill/>
        <a:ln>
          <a:noFill/>
        </a:ln>
        <a:effectLst/>
      </c:spPr>
    </c:plotArea>
    <c:legend>
      <c:legendPos val="r"/>
      <c:layout>
        <c:manualLayout>
          <c:xMode val="edge"/>
          <c:yMode val="edge"/>
          <c:x val="0.84100017977141461"/>
          <c:y val="5.7332021771518311E-2"/>
          <c:w val="0.1204813131474666"/>
          <c:h val="8.1933363433498579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[apple dashboard.xlsx]Avg. of Star Rating !PivotTable4</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effectLst/>
              </a:rPr>
              <a:t>Avg. of Star Rating</a:t>
            </a:r>
            <a:r>
              <a:rPr lang="en-IN" sz="1400" b="0" i="0" u="none" strike="noStrike" baseline="0"/>
              <a:t>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s>
    <c:plotArea>
      <c:layout/>
      <c:doughnutChart>
        <c:varyColors val="1"/>
        <c:ser>
          <c:idx val="0"/>
          <c:order val="0"/>
          <c:tx>
            <c:strRef>
              <c:f>'Avg. of Star Rating '!$B$3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77A-4855-963C-AB9159433ED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77A-4855-963C-AB9159433ED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77A-4855-963C-AB9159433ED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E77A-4855-963C-AB9159433ED3}"/>
              </c:ext>
            </c:extLst>
          </c:dPt>
          <c:dLbls>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'Avg. of Star Rating '!$A$4:$A$7</c:f>
              <c:strCache>
                <c:ptCount val="4"/>
                <c:pt idx="0">
                  <c:v>2 GB</c:v>
                </c:pt>
                <c:pt idx="1">
                  <c:v>3 GB</c:v>
                </c:pt>
                <c:pt idx="2">
                  <c:v>4 GB</c:v>
                </c:pt>
                <c:pt idx="3">
                  <c:v>6 GB</c:v>
                </c:pt>
              </c:strCache>
            </c:strRef>
          </c:cat>
          <c:val>
            <c:numRef>
              <c:f>'Avg. of Star Rating '!$B$4:$B$7</c:f>
              <c:numCache>
                <c:formatCode>0.0</c:formatCode>
                <c:ptCount val="4"/>
                <c:pt idx="0">
                  <c:v>4.5384615384615383</c:v>
                </c:pt>
                <c:pt idx="1">
                  <c:v>4.5999999999999996</c:v>
                </c:pt>
                <c:pt idx="2">
                  <c:v>4.5896551724137922</c:v>
                </c:pt>
                <c:pt idx="3">
                  <c:v>4.5789473684210522</c:v>
                </c:pt>
              </c:numCache>
            </c:numRef>
          </c:val>
          <c:extLst>
            <c:ext xmlns:c16="http://schemas.microsoft.com/office/drawing/2014/chart" uri="{C3380CC4-5D6E-409C-BE32-E72D297353CC}">
              <c16:uniqueId val="{00000008-E77A-4855-963C-AB9159433ED3}"/>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87355964791176732"/>
          <c:y val="7.0529505611106547E-2"/>
          <c:w val="8.1863829057029089E-2"/>
          <c:h val="0.5576779461678464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[apple dashboard.xlsx]Avilable Product!Avilable Product</c:name>
    <c:fmtId val="8"/>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sz="1600" b="1" i="0" u="none" strike="noStrike" baseline="0">
                <a:effectLst/>
              </a:rPr>
              <a:t>Avilable Product</a:t>
            </a:r>
            <a:r>
              <a:rPr lang="en-IN" sz="1600" b="1" i="0" u="none" strike="noStrike" baseline="0"/>
              <a:t> </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752088896236213"/>
          <c:y val="0.21682068247903219"/>
          <c:w val="0.77508186949028834"/>
          <c:h val="0.63081805951573022"/>
        </c:manualLayout>
      </c:layout>
      <c:lineChart>
        <c:grouping val="standard"/>
        <c:varyColors val="0"/>
        <c:ser>
          <c:idx val="0"/>
          <c:order val="0"/>
          <c:tx>
            <c:strRef>
              <c:f>'Avilable Product'!$B$3</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'Avilable Product'!$A$4:$A$7</c:f>
              <c:strCache>
                <c:ptCount val="4"/>
                <c:pt idx="0">
                  <c:v>2 GB</c:v>
                </c:pt>
                <c:pt idx="1">
                  <c:v>3 GB</c:v>
                </c:pt>
                <c:pt idx="2">
                  <c:v>4 GB</c:v>
                </c:pt>
                <c:pt idx="3">
                  <c:v>6 GB</c:v>
                </c:pt>
              </c:strCache>
            </c:strRef>
          </c:cat>
          <c:val>
            <c:numRef>
              <c:f>'Avilable Product'!$B$4:$B$7</c:f>
              <c:numCache>
                <c:formatCode>General</c:formatCode>
                <c:ptCount val="4"/>
                <c:pt idx="0">
                  <c:v>13</c:v>
                </c:pt>
                <c:pt idx="1">
                  <c:v>1</c:v>
                </c:pt>
                <c:pt idx="2">
                  <c:v>29</c:v>
                </c:pt>
                <c:pt idx="3">
                  <c:v>19</c:v>
                </c:pt>
              </c:numCache>
            </c:numRef>
          </c:val>
          <c:smooth val="0"/>
          <c:extLst>
            <c:ext xmlns:c16="http://schemas.microsoft.com/office/drawing/2014/chart" uri="{C3380CC4-5D6E-409C-BE32-E72D297353CC}">
              <c16:uniqueId val="{00000000-3E2E-4BAF-8BAE-B456F6C6D558}"/>
            </c:ext>
          </c:extLst>
        </c:ser>
        <c:dLbls>
          <c:dLblPos val="t"/>
          <c:showLegendKey val="0"/>
          <c:showVal val="1"/>
          <c:showCatName val="0"/>
          <c:showSerName val="0"/>
          <c:showPercent val="0"/>
          <c:showBubbleSize val="0"/>
        </c:dLbls>
        <c:marker val="1"/>
        <c:smooth val="0"/>
        <c:axId val="527727311"/>
        <c:axId val="527722511"/>
      </c:lineChart>
      <c:catAx>
        <c:axId val="527727311"/>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7722511"/>
        <c:crosses val="autoZero"/>
        <c:auto val="1"/>
        <c:lblAlgn val="ctr"/>
        <c:lblOffset val="100"/>
        <c:noMultiLvlLbl val="0"/>
      </c:catAx>
      <c:valAx>
        <c:axId val="52772251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7727311"/>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[apple dashboard.xlsx]Average of Discount Percentage!Avg. discount</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effectLst/>
              </a:rPr>
              <a:t>Avg. of Discount Percentage</a:t>
            </a:r>
            <a:r>
              <a:rPr lang="en-IN" sz="1400" b="0" i="0" u="none" strike="noStrike" baseline="0"/>
              <a:t>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s>
    <c:plotArea>
      <c:layout>
        <c:manualLayout>
          <c:layoutTarget val="inner"/>
          <c:xMode val="edge"/>
          <c:yMode val="edge"/>
          <c:x val="0.19984803800932482"/>
          <c:y val="0.19672494587442868"/>
          <c:w val="0.45831628803924651"/>
          <c:h val="0.65587144575414957"/>
        </c:manualLayout>
      </c:layout>
      <c:doughnutChart>
        <c:varyColors val="1"/>
        <c:ser>
          <c:idx val="0"/>
          <c:order val="0"/>
          <c:tx>
            <c:strRef>
              <c:f>'Average of Discount Percentage'!$B$3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A89-4F46-972D-A48B941A199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A89-4F46-972D-A48B941A199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A89-4F46-972D-A48B941A199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A89-4F46-972D-A48B941A1991}"/>
              </c:ext>
            </c:extLst>
          </c:dPt>
          <c:dLbls>
            <c:spPr>
              <a:solidFill>
                <a:schemeClr val="bg1"/>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'Average of Discount Percentage'!$A$4:$A$7</c:f>
              <c:strCache>
                <c:ptCount val="4"/>
                <c:pt idx="0">
                  <c:v>2 GB</c:v>
                </c:pt>
                <c:pt idx="1">
                  <c:v>3 GB</c:v>
                </c:pt>
                <c:pt idx="2">
                  <c:v>4 GB</c:v>
                </c:pt>
                <c:pt idx="3">
                  <c:v>6 GB</c:v>
                </c:pt>
              </c:strCache>
            </c:strRef>
          </c:cat>
          <c:val>
            <c:numRef>
              <c:f>'Average of Discount Percentage'!$B$4:$B$7</c:f>
              <c:numCache>
                <c:formatCode>0</c:formatCode>
                <c:ptCount val="4"/>
                <c:pt idx="0">
                  <c:v>8.3076923076923084</c:v>
                </c:pt>
                <c:pt idx="1">
                  <c:v>20</c:v>
                </c:pt>
                <c:pt idx="2">
                  <c:v>11.551724137931034</c:v>
                </c:pt>
                <c:pt idx="3">
                  <c:v>8.1052631578947363</c:v>
                </c:pt>
              </c:numCache>
            </c:numRef>
          </c:val>
          <c:extLst>
            <c:ext xmlns:c16="http://schemas.microsoft.com/office/drawing/2014/chart" uri="{C3380CC4-5D6E-409C-BE32-E72D297353CC}">
              <c16:uniqueId val="{00000008-AA89-4F46-972D-A48B941A1991}"/>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[apple dashboard.xlsx]Averag Sale Price!PivotTable7</c:name>
    <c:fmtId val="8"/>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Avg. of Sale Price </a:t>
            </a:r>
            <a:endParaRPr lang="en-US"/>
          </a:p>
        </c:rich>
      </c:tx>
      <c:layout>
        <c:manualLayout>
          <c:xMode val="edge"/>
          <c:yMode val="edge"/>
          <c:x val="0.32027777777777777"/>
          <c:y val="5.0925925925925923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'Averag Sale Price'!$B$3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ED4C-4950-880D-DEAFC07EFB38}"/>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ED4C-4950-880D-DEAFC07EFB38}"/>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ED4C-4950-880D-DEAFC07EFB38}"/>
              </c:ext>
            </c:extLst>
          </c:dPt>
          <c:dLbls>
            <c:spPr>
              <a:solidFill>
                <a:schemeClr val="bg1"/>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'Averag Sale Price'!$A$4:$A$6</c:f>
              <c:strCache>
                <c:ptCount val="3"/>
                <c:pt idx="0">
                  <c:v>4.7</c:v>
                </c:pt>
                <c:pt idx="1">
                  <c:v>4.6</c:v>
                </c:pt>
                <c:pt idx="2">
                  <c:v>4.5</c:v>
                </c:pt>
              </c:strCache>
            </c:strRef>
          </c:cat>
          <c:val>
            <c:numRef>
              <c:f>'Averag Sale Price'!$B$4:$B$6</c:f>
              <c:numCache>
                <c:formatCode>0</c:formatCode>
                <c:ptCount val="3"/>
                <c:pt idx="0">
                  <c:v>123020</c:v>
                </c:pt>
                <c:pt idx="1">
                  <c:v>78637.486486486479</c:v>
                </c:pt>
                <c:pt idx="2">
                  <c:v>71994.7</c:v>
                </c:pt>
              </c:numCache>
            </c:numRef>
          </c:val>
          <c:extLst>
            <c:ext xmlns:c16="http://schemas.microsoft.com/office/drawing/2014/chart" uri="{C3380CC4-5D6E-409C-BE32-E72D297353CC}">
              <c16:uniqueId val="{00000006-ED4C-4950-880D-DEAFC07EFB38}"/>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8.xml"/></Relationships>
</file>

<file path=xl/drawings/_rels/drawing9.xml.rels><?xml version="1.0" encoding="UTF-8" standalone="yes"?>
<Relationships xmlns="http://schemas.openxmlformats.org/package/2006/relationships"><Relationship Id="rId8" Type="http://schemas.openxmlformats.org/officeDocument/2006/relationships/chart" Target="../charts/chart16.xml"/><Relationship Id="rId3" Type="http://schemas.openxmlformats.org/officeDocument/2006/relationships/chart" Target="../charts/chart11.xml"/><Relationship Id="rId7" Type="http://schemas.openxmlformats.org/officeDocument/2006/relationships/chart" Target="../charts/chart15.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0</xdr:col>
      <xdr:colOff>2712720</xdr:colOff>
      <xdr:row>12</xdr:row>
      <xdr:rowOff>118110</xdr:rowOff>
    </xdr:from>
    <xdr:to>
      <xdr:col>9</xdr:col>
      <xdr:colOff>76200</xdr:colOff>
      <xdr:row>32</xdr:row>
      <xdr:rowOff>129540</xdr:rowOff>
    </xdr:to>
    <xdr:graphicFrame macro="">
      <xdr:nvGraphicFramePr>
        <xdr:cNvPr id="5" name="Chart 4">
          <a:extLst>
            <a:ext uri="{FF2B5EF4-FFF2-40B4-BE49-F238E27FC236}">
              <a16:creationId xmlns:a16="http://schemas.microsoft.com/office/drawing/2014/main" id="{3486EE2F-CA27-AEB2-B7AC-3EC9D2BB56B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266700</xdr:colOff>
      <xdr:row>7</xdr:row>
      <xdr:rowOff>87630</xdr:rowOff>
    </xdr:from>
    <xdr:to>
      <xdr:col>11</xdr:col>
      <xdr:colOff>571500</xdr:colOff>
      <xdr:row>22</xdr:row>
      <xdr:rowOff>87630</xdr:rowOff>
    </xdr:to>
    <xdr:graphicFrame macro="">
      <xdr:nvGraphicFramePr>
        <xdr:cNvPr id="2" name="Chart 1">
          <a:extLst>
            <a:ext uri="{FF2B5EF4-FFF2-40B4-BE49-F238E27FC236}">
              <a16:creationId xmlns:a16="http://schemas.microsoft.com/office/drawing/2014/main" id="{15B6F51A-21B9-CF94-6C32-A751B9C759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2743200</xdr:colOff>
      <xdr:row>10</xdr:row>
      <xdr:rowOff>121920</xdr:rowOff>
    </xdr:from>
    <xdr:to>
      <xdr:col>4</xdr:col>
      <xdr:colOff>129540</xdr:colOff>
      <xdr:row>25</xdr:row>
      <xdr:rowOff>121920</xdr:rowOff>
    </xdr:to>
    <xdr:graphicFrame macro="">
      <xdr:nvGraphicFramePr>
        <xdr:cNvPr id="2" name="Chart 1">
          <a:extLst>
            <a:ext uri="{FF2B5EF4-FFF2-40B4-BE49-F238E27FC236}">
              <a16:creationId xmlns:a16="http://schemas.microsoft.com/office/drawing/2014/main" id="{EE817E53-EF68-17A6-038B-9B93E76C963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3482340</xdr:colOff>
      <xdr:row>10</xdr:row>
      <xdr:rowOff>57150</xdr:rowOff>
    </xdr:from>
    <xdr:to>
      <xdr:col>6</xdr:col>
      <xdr:colOff>449580</xdr:colOff>
      <xdr:row>25</xdr:row>
      <xdr:rowOff>57150</xdr:rowOff>
    </xdr:to>
    <xdr:graphicFrame macro="">
      <xdr:nvGraphicFramePr>
        <xdr:cNvPr id="3" name="Chart 2">
          <a:extLst>
            <a:ext uri="{FF2B5EF4-FFF2-40B4-BE49-F238E27FC236}">
              <a16:creationId xmlns:a16="http://schemas.microsoft.com/office/drawing/2014/main" id="{0E72087A-6F60-24A0-A3BA-7FEFD46C04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297180</xdr:colOff>
      <xdr:row>7</xdr:row>
      <xdr:rowOff>87630</xdr:rowOff>
    </xdr:from>
    <xdr:to>
      <xdr:col>11</xdr:col>
      <xdr:colOff>548640</xdr:colOff>
      <xdr:row>25</xdr:row>
      <xdr:rowOff>99060</xdr:rowOff>
    </xdr:to>
    <xdr:graphicFrame macro="">
      <xdr:nvGraphicFramePr>
        <xdr:cNvPr id="2" name="Chart 1">
          <a:extLst>
            <a:ext uri="{FF2B5EF4-FFF2-40B4-BE49-F238E27FC236}">
              <a16:creationId xmlns:a16="http://schemas.microsoft.com/office/drawing/2014/main" id="{D8960D65-56F5-A451-2AB5-816EDE94D6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4</xdr:col>
      <xdr:colOff>220980</xdr:colOff>
      <xdr:row>7</xdr:row>
      <xdr:rowOff>83820</xdr:rowOff>
    </xdr:from>
    <xdr:to>
      <xdr:col>11</xdr:col>
      <xdr:colOff>525780</xdr:colOff>
      <xdr:row>22</xdr:row>
      <xdr:rowOff>83820</xdr:rowOff>
    </xdr:to>
    <xdr:graphicFrame macro="">
      <xdr:nvGraphicFramePr>
        <xdr:cNvPr id="2" name="Chart 1">
          <a:extLst>
            <a:ext uri="{FF2B5EF4-FFF2-40B4-BE49-F238E27FC236}">
              <a16:creationId xmlns:a16="http://schemas.microsoft.com/office/drawing/2014/main" id="{E8339A8E-D96C-B5AF-65D7-75E0F533EA3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xdr:col>
      <xdr:colOff>335280</xdr:colOff>
      <xdr:row>7</xdr:row>
      <xdr:rowOff>87630</xdr:rowOff>
    </xdr:from>
    <xdr:to>
      <xdr:col>10</xdr:col>
      <xdr:colOff>30480</xdr:colOff>
      <xdr:row>22</xdr:row>
      <xdr:rowOff>87630</xdr:rowOff>
    </xdr:to>
    <xdr:graphicFrame macro="">
      <xdr:nvGraphicFramePr>
        <xdr:cNvPr id="2" name="Chart 1">
          <a:extLst>
            <a:ext uri="{FF2B5EF4-FFF2-40B4-BE49-F238E27FC236}">
              <a16:creationId xmlns:a16="http://schemas.microsoft.com/office/drawing/2014/main" id="{6C096DBA-FB20-9D54-9346-2DD52B8D08A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3</xdr:col>
      <xdr:colOff>365760</xdr:colOff>
      <xdr:row>7</xdr:row>
      <xdr:rowOff>87630</xdr:rowOff>
    </xdr:from>
    <xdr:to>
      <xdr:col>11</xdr:col>
      <xdr:colOff>60960</xdr:colOff>
      <xdr:row>22</xdr:row>
      <xdr:rowOff>87630</xdr:rowOff>
    </xdr:to>
    <xdr:graphicFrame macro="">
      <xdr:nvGraphicFramePr>
        <xdr:cNvPr id="2" name="Chart 1">
          <a:extLst>
            <a:ext uri="{FF2B5EF4-FFF2-40B4-BE49-F238E27FC236}">
              <a16:creationId xmlns:a16="http://schemas.microsoft.com/office/drawing/2014/main" id="{D2772346-0ADC-6E16-F98F-28D9B60E8B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0</xdr:col>
      <xdr:colOff>153939</xdr:colOff>
      <xdr:row>1</xdr:row>
      <xdr:rowOff>152400</xdr:rowOff>
    </xdr:from>
    <xdr:to>
      <xdr:col>21</xdr:col>
      <xdr:colOff>350108</xdr:colOff>
      <xdr:row>5</xdr:row>
      <xdr:rowOff>91440</xdr:rowOff>
    </xdr:to>
    <xdr:sp macro="" textlink="">
      <xdr:nvSpPr>
        <xdr:cNvPr id="2" name="TextBox 1">
          <a:extLst>
            <a:ext uri="{FF2B5EF4-FFF2-40B4-BE49-F238E27FC236}">
              <a16:creationId xmlns:a16="http://schemas.microsoft.com/office/drawing/2014/main" id="{C9FEB36B-4FC9-8C02-D40C-581E12F1C3E7}"/>
            </a:ext>
          </a:extLst>
        </xdr:cNvPr>
        <xdr:cNvSpPr txBox="1"/>
      </xdr:nvSpPr>
      <xdr:spPr>
        <a:xfrm>
          <a:off x="153939" y="337127"/>
          <a:ext cx="12965442" cy="677949"/>
        </a:xfrm>
        <a:prstGeom prst="rect">
          <a:avLst/>
        </a:prstGeom>
        <a:solidFill>
          <a:schemeClr val="tx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400" b="1" i="0">
              <a:solidFill>
                <a:schemeClr val="bg1"/>
              </a:solidFill>
            </a:rPr>
            <a:t>Apple</a:t>
          </a:r>
          <a:r>
            <a:rPr lang="en-IN" sz="2400" b="1" i="0">
              <a:solidFill>
                <a:schemeClr val="tx1"/>
              </a:solidFill>
            </a:rPr>
            <a:t> </a:t>
          </a:r>
          <a:r>
            <a:rPr lang="en-IN" sz="2400" b="1" i="0">
              <a:solidFill>
                <a:schemeClr val="bg1"/>
              </a:solidFill>
            </a:rPr>
            <a:t>Sales</a:t>
          </a:r>
          <a:r>
            <a:rPr lang="en-IN" sz="2400" b="1" i="0">
              <a:solidFill>
                <a:schemeClr val="tx1"/>
              </a:solidFill>
            </a:rPr>
            <a:t> </a:t>
          </a:r>
          <a:r>
            <a:rPr lang="en-IN" sz="2400" b="1" i="0">
              <a:solidFill>
                <a:schemeClr val="bg1"/>
              </a:solidFill>
            </a:rPr>
            <a:t>Dashboard</a:t>
          </a:r>
        </a:p>
      </xdr:txBody>
    </xdr:sp>
    <xdr:clientData/>
  </xdr:twoCellAnchor>
  <xdr:twoCellAnchor>
    <xdr:from>
      <xdr:col>2</xdr:col>
      <xdr:colOff>397162</xdr:colOff>
      <xdr:row>5</xdr:row>
      <xdr:rowOff>151014</xdr:rowOff>
    </xdr:from>
    <xdr:to>
      <xdr:col>11</xdr:col>
      <xdr:colOff>520700</xdr:colOff>
      <xdr:row>19</xdr:row>
      <xdr:rowOff>63499</xdr:rowOff>
    </xdr:to>
    <xdr:graphicFrame macro="">
      <xdr:nvGraphicFramePr>
        <xdr:cNvPr id="3" name="Chart 2">
          <a:extLst>
            <a:ext uri="{FF2B5EF4-FFF2-40B4-BE49-F238E27FC236}">
              <a16:creationId xmlns:a16="http://schemas.microsoft.com/office/drawing/2014/main" id="{EA3CCCF9-883B-414F-B15C-C9D9305208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609599</xdr:colOff>
      <xdr:row>19</xdr:row>
      <xdr:rowOff>102916</xdr:rowOff>
    </xdr:from>
    <xdr:to>
      <xdr:col>8</xdr:col>
      <xdr:colOff>445814</xdr:colOff>
      <xdr:row>34</xdr:row>
      <xdr:rowOff>38100</xdr:rowOff>
    </xdr:to>
    <xdr:graphicFrame macro="">
      <xdr:nvGraphicFramePr>
        <xdr:cNvPr id="4" name="Chart 3">
          <a:extLst>
            <a:ext uri="{FF2B5EF4-FFF2-40B4-BE49-F238E27FC236}">
              <a16:creationId xmlns:a16="http://schemas.microsoft.com/office/drawing/2014/main" id="{965097AD-4BF0-4669-87B4-4B179EA26C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551794</xdr:colOff>
      <xdr:row>19</xdr:row>
      <xdr:rowOff>125102</xdr:rowOff>
    </xdr:from>
    <xdr:to>
      <xdr:col>21</xdr:col>
      <xdr:colOff>476151</xdr:colOff>
      <xdr:row>34</xdr:row>
      <xdr:rowOff>20572</xdr:rowOff>
    </xdr:to>
    <xdr:graphicFrame macro="">
      <xdr:nvGraphicFramePr>
        <xdr:cNvPr id="5" name="Chart 4">
          <a:extLst>
            <a:ext uri="{FF2B5EF4-FFF2-40B4-BE49-F238E27FC236}">
              <a16:creationId xmlns:a16="http://schemas.microsoft.com/office/drawing/2014/main" id="{64C808E1-F5B3-42A1-BEAE-7E07B7AEFE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15140</xdr:colOff>
      <xdr:row>5</xdr:row>
      <xdr:rowOff>147561</xdr:rowOff>
    </xdr:from>
    <xdr:to>
      <xdr:col>21</xdr:col>
      <xdr:colOff>330199</xdr:colOff>
      <xdr:row>19</xdr:row>
      <xdr:rowOff>76201</xdr:rowOff>
    </xdr:to>
    <xdr:graphicFrame macro="">
      <xdr:nvGraphicFramePr>
        <xdr:cNvPr id="7" name="Chart 6">
          <a:extLst>
            <a:ext uri="{FF2B5EF4-FFF2-40B4-BE49-F238E27FC236}">
              <a16:creationId xmlns:a16="http://schemas.microsoft.com/office/drawing/2014/main" id="{42C0F347-E3CC-4081-A29F-F0BF4FFEA4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550848</xdr:colOff>
      <xdr:row>20</xdr:row>
      <xdr:rowOff>470</xdr:rowOff>
    </xdr:from>
    <xdr:to>
      <xdr:col>14</xdr:col>
      <xdr:colOff>489063</xdr:colOff>
      <xdr:row>34</xdr:row>
      <xdr:rowOff>41165</xdr:rowOff>
    </xdr:to>
    <xdr:graphicFrame macro="">
      <xdr:nvGraphicFramePr>
        <xdr:cNvPr id="8" name="Chart 7">
          <a:extLst>
            <a:ext uri="{FF2B5EF4-FFF2-40B4-BE49-F238E27FC236}">
              <a16:creationId xmlns:a16="http://schemas.microsoft.com/office/drawing/2014/main" id="{CB1CFB6C-7E2A-4B42-9862-A0A8DB98DE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528781</xdr:colOff>
      <xdr:row>35</xdr:row>
      <xdr:rowOff>5772</xdr:rowOff>
    </xdr:from>
    <xdr:to>
      <xdr:col>9</xdr:col>
      <xdr:colOff>70069</xdr:colOff>
      <xdr:row>49</xdr:row>
      <xdr:rowOff>41602</xdr:rowOff>
    </xdr:to>
    <xdr:graphicFrame macro="">
      <xdr:nvGraphicFramePr>
        <xdr:cNvPr id="9" name="Chart 8">
          <a:extLst>
            <a:ext uri="{FF2B5EF4-FFF2-40B4-BE49-F238E27FC236}">
              <a16:creationId xmlns:a16="http://schemas.microsoft.com/office/drawing/2014/main" id="{62FADA27-FC62-4E55-8395-97CA0C50B0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9</xdr:col>
      <xdr:colOff>193128</xdr:colOff>
      <xdr:row>34</xdr:row>
      <xdr:rowOff>154589</xdr:rowOff>
    </xdr:from>
    <xdr:to>
      <xdr:col>15</xdr:col>
      <xdr:colOff>285094</xdr:colOff>
      <xdr:row>49</xdr:row>
      <xdr:rowOff>81893</xdr:rowOff>
    </xdr:to>
    <xdr:graphicFrame macro="">
      <xdr:nvGraphicFramePr>
        <xdr:cNvPr id="10" name="Chart 9">
          <a:extLst>
            <a:ext uri="{FF2B5EF4-FFF2-40B4-BE49-F238E27FC236}">
              <a16:creationId xmlns:a16="http://schemas.microsoft.com/office/drawing/2014/main" id="{AF373CBC-5DF7-422A-9141-6DC8AE9EF7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15</xdr:col>
      <xdr:colOff>403773</xdr:colOff>
      <xdr:row>34</xdr:row>
      <xdr:rowOff>97142</xdr:rowOff>
    </xdr:from>
    <xdr:to>
      <xdr:col>21</xdr:col>
      <xdr:colOff>496135</xdr:colOff>
      <xdr:row>49</xdr:row>
      <xdr:rowOff>69433</xdr:rowOff>
    </xdr:to>
    <xdr:graphicFrame macro="">
      <xdr:nvGraphicFramePr>
        <xdr:cNvPr id="11" name="Chart 10">
          <a:extLst>
            <a:ext uri="{FF2B5EF4-FFF2-40B4-BE49-F238E27FC236}">
              <a16:creationId xmlns:a16="http://schemas.microsoft.com/office/drawing/2014/main" id="{B6C6D08C-9832-4CF9-82EE-C0A5050EDF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0</xdr:col>
      <xdr:colOff>111250</xdr:colOff>
      <xdr:row>13</xdr:row>
      <xdr:rowOff>80695</xdr:rowOff>
    </xdr:from>
    <xdr:to>
      <xdr:col>1</xdr:col>
      <xdr:colOff>609599</xdr:colOff>
      <xdr:row>21</xdr:row>
      <xdr:rowOff>139148</xdr:rowOff>
    </xdr:to>
    <mc:AlternateContent xmlns:mc="http://schemas.openxmlformats.org/markup-compatibility/2006">
      <mc:Choice xmlns:a14="http://schemas.microsoft.com/office/drawing/2010/main" Requires="a14">
        <xdr:graphicFrame macro="">
          <xdr:nvGraphicFramePr>
            <xdr:cNvPr id="24" name="Ram">
              <a:extLst>
                <a:ext uri="{FF2B5EF4-FFF2-40B4-BE49-F238E27FC236}">
                  <a16:creationId xmlns:a16="http://schemas.microsoft.com/office/drawing/2014/main" id="{2B4E4A4E-3D73-F5DF-77C6-6278830D0FA0}"/>
                </a:ext>
              </a:extLst>
            </xdr:cNvPr>
            <xdr:cNvGraphicFramePr/>
          </xdr:nvGraphicFramePr>
          <xdr:xfrm>
            <a:off x="0" y="0"/>
            <a:ext cx="0" cy="0"/>
          </xdr:xfrm>
          <a:graphic>
            <a:graphicData uri="http://schemas.microsoft.com/office/drawing/2010/slicer">
              <sle:slicer xmlns:sle="http://schemas.microsoft.com/office/drawing/2010/slicer" name="Ram"/>
            </a:graphicData>
          </a:graphic>
        </xdr:graphicFrame>
      </mc:Choice>
      <mc:Fallback>
        <xdr:sp macro="" textlink="">
          <xdr:nvSpPr>
            <xdr:cNvPr id="0" name=""/>
            <xdr:cNvSpPr>
              <a:spLocks noTextEdit="1"/>
            </xdr:cNvSpPr>
          </xdr:nvSpPr>
          <xdr:spPr>
            <a:xfrm>
              <a:off x="111250" y="2465473"/>
              <a:ext cx="1105127" cy="152600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51985</xdr:colOff>
      <xdr:row>6</xdr:row>
      <xdr:rowOff>7228</xdr:rowOff>
    </xdr:from>
    <xdr:to>
      <xdr:col>2</xdr:col>
      <xdr:colOff>162420</xdr:colOff>
      <xdr:row>12</xdr:row>
      <xdr:rowOff>94609</xdr:rowOff>
    </xdr:to>
    <mc:AlternateContent xmlns:mc="http://schemas.openxmlformats.org/markup-compatibility/2006">
      <mc:Choice xmlns:a14="http://schemas.microsoft.com/office/drawing/2010/main" Requires="a14">
        <xdr:graphicFrame macro="">
          <xdr:nvGraphicFramePr>
            <xdr:cNvPr id="25" name="Star Rating">
              <a:extLst>
                <a:ext uri="{FF2B5EF4-FFF2-40B4-BE49-F238E27FC236}">
                  <a16:creationId xmlns:a16="http://schemas.microsoft.com/office/drawing/2014/main" id="{E78D663A-CCE0-F5EA-E2F1-9A0442D34D05}"/>
                </a:ext>
              </a:extLst>
            </xdr:cNvPr>
            <xdr:cNvGraphicFramePr/>
          </xdr:nvGraphicFramePr>
          <xdr:xfrm>
            <a:off x="0" y="0"/>
            <a:ext cx="0" cy="0"/>
          </xdr:xfrm>
          <a:graphic>
            <a:graphicData uri="http://schemas.microsoft.com/office/drawing/2010/slicer">
              <sle:slicer xmlns:sle="http://schemas.microsoft.com/office/drawing/2010/slicer" name="Star Rating"/>
            </a:graphicData>
          </a:graphic>
        </xdr:graphicFrame>
      </mc:Choice>
      <mc:Fallback>
        <xdr:sp macro="" textlink="">
          <xdr:nvSpPr>
            <xdr:cNvPr id="0" name=""/>
            <xdr:cNvSpPr>
              <a:spLocks noTextEdit="1"/>
            </xdr:cNvSpPr>
          </xdr:nvSpPr>
          <xdr:spPr>
            <a:xfrm>
              <a:off x="51985" y="1107895"/>
              <a:ext cx="1323991" cy="118804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856.443248842595" createdVersion="8" refreshedVersion="8" minRefreshableVersion="3" recordCount="62" xr:uid="{33D1FCDC-4A3B-4C4D-8F21-47E033890F50}">
  <cacheSource type="worksheet">
    <worksheetSource name="Appled"/>
  </cacheSource>
  <cacheFields count="11">
    <cacheField name="Product Name" numFmtId="0">
      <sharedItems count="62">
        <s v="APPLE iPhone 8 Plus (Gold, 64 GB)"/>
        <s v="APPLE iPhone 8 Plus (Space Grey, 256 GB)"/>
        <s v="APPLE iPhone 8 Plus (Silver, 256 GB)"/>
        <s v="APPLE iPhone 8 (Silver, 256 GB)"/>
        <s v="APPLE iPhone 8 (Gold, 256 GB)"/>
        <s v="APPLE iPhone 8 Plus (Silver, 64 GB)"/>
        <s v="APPLE iPhone 8 Plus (Space Grey, 64 GB)"/>
        <s v="APPLE iPhone 8 (Space Grey, 256 GB)"/>
        <s v="APPLE iPhone XS Max (Silver, 64 GB)"/>
        <s v="Apple iPhone XR ((PRODUCT)RED, 128 GB) (Includes EarPods, Power Adapter)"/>
        <s v="Apple iPhone XR (Black, 64 GB) (Includes EarPods, Power Adapter)"/>
        <s v="Apple iPhone XR (Coral, 128 GB) (Includes EarPods, Power Adapter)"/>
        <s v="Apple iPhone XR (Black, 128 GB) (Includes EarPods, Power Adapter)"/>
        <s v="Apple iPhone XR (White, 128 GB) (Includes EarPods, Power Adapter)"/>
        <s v="APPLE iPhone 11 Pro Max (Gold, 256 GB)"/>
        <s v="APPLE iPhone 11 Pro Max (Gold, 64 GB)"/>
        <s v="APPLE iPhone 11 Pro Max (Midnight Green, 256 GB)"/>
        <s v="APPLE iPhone 11 Pro Max (Space Grey, 64 GB)"/>
        <s v="APPLE iPhone 11 Pro (Midnight Green, 64 GB)"/>
        <s v="APPLE iPhone 11 Pro (Space Grey, 512 GB)"/>
        <s v="APPLE iPhone 11 Pro Max (Midnight Green, 64 GB)"/>
        <s v="APPLE iPhone 11 Pro (Midnight Green, 512 GB)"/>
        <s v="APPLE iPhone 11 Pro (Space Grey, 256 GB)"/>
        <s v="Apple iPhone SE (White, 256 GB) (Includes EarPods, Power Adapter)"/>
        <s v="APPLE iPhone 12 Pro (Silver, 512 GB)"/>
        <s v="APPLE iPhone 12 Pro Max (Pacific Blue, 256 GB)"/>
        <s v="APPLE iPhone 12 Mini (White, 128 GB)"/>
        <s v="APPLE iPhone 12 Pro (Graphite, 256 GB)"/>
        <s v="APPLE iPhone 12 Mini (White, 64 GB)"/>
        <s v="APPLE iPhone 12 (White, 128 GB)"/>
        <s v="APPLE iPhone 12 Pro (Graphite, 128 GB)"/>
        <s v="APPLE iPhone 12 Pro Max (Graphite, 256 GB)"/>
        <s v="APPLE iPhone 12 Pro Max (Graphite, 128 GB)"/>
        <s v="APPLE iPhone 12 Mini (Black, 128 GB)"/>
        <s v="APPLE iPhone 12 Mini (Blue, 128 GB)"/>
        <s v="APPLE iPhone 12 (Black, 128 GB)"/>
        <s v="APPLE iPhone 12 (Blue, 128 GB)"/>
        <s v="APPLE iPhone 12 Pro Max (Silver, 128 GB)"/>
        <s v="APPLE iPhone 12 Mini (Red, 64 GB)"/>
        <s v="APPLE iPhone 12 Pro Max (Gold, 128 GB)"/>
        <s v="APPLE iPhone 12 (Green, 128 GB)"/>
        <s v="APPLE iPhone 12 Pro (Pacific Blue, 512 GB)"/>
        <s v="APPLE iPhone 12 (White, 64 GB)"/>
        <s v="APPLE iPhone 12 (Black, 64 GB)"/>
        <s v="APPLE iPhone 12 (Red, 128 GB)"/>
        <s v="APPLE iPhone 12 Mini (Black, 64 GB)"/>
        <s v="APPLE iPhone 12 Pro (Pacific Blue, 128 GB)"/>
        <s v="APPLE iPhone 12 Pro Max (Pacific Blue, 128 GB)"/>
        <s v="APPLE iPhone 12 Pro Max (Silver, 256 GB)"/>
        <s v="APPLE iPhone 12 Pro Max (Gold, 256 GB)"/>
        <s v="APPLE iPhone 11 (White, 128 GB)"/>
        <s v="APPLE iPhone 11 (Red, 128 GB)"/>
        <s v="APPLE iPhone SE (White, 64 GB)"/>
        <s v="APPLE iPhone SE (Black, 128 GB)"/>
        <s v="APPLE iPhone SE (White, 128 GB)"/>
        <s v="APPLE iPhone SE (Red, 128 GB)"/>
        <s v="APPLE iPhone 11 (Black, 128 GB)"/>
        <s v="APPLE iPhone SE (Black, 64 GB)"/>
        <s v="APPLE iPhone 11 (Purple, 64 GB)"/>
        <s v="APPLE iPhone 11 (White, 64 GB)"/>
        <s v="APPLE iPhone 11 (Black, 64 GB)"/>
        <s v="APPLE iPhone 11 (Red, 64 GB)"/>
      </sharedItems>
    </cacheField>
    <cacheField name="Product URL" numFmtId="0">
      <sharedItems count="62">
        <s v="https://www.flipkart.com/apple-iphone-8-plus-gold-64-gb/p/itmexrgvuzgzttzh?pid=MOBEXRGV7EHHTGUH"/>
        <s v="https://www.flipkart.com/apple-iphone-8-plus-space-grey-256-gb/p/itmexrgvzkbyqgtf?pid=MOBEXRGVAC6TJT4F"/>
        <s v="https://www.flipkart.com/apple-iphone-8-plus-silver-256-gb/p/itmexrgvxatuyrqw?pid=MOBEXRGVGETABXWZ"/>
        <s v="https://www.flipkart.com/apple-iphone-8-silver-256-gb/p/itmexrgvae48gzhp?pid=MOBEXRGVMZWUHCBA"/>
        <s v="https://www.flipkart.com/apple-iphone-8-gold-256-gb/p/itmexrgv8bvfbzgw?pid=MOBEXRGVPK7PFEJZ"/>
        <s v="https://www.flipkart.com/apple-iphone-8-plus-silver-64-gb/p/itmexrgv7yfjbryy?pid=MOBEXRGVQGYYP8FV"/>
        <s v="https://www.flipkart.com/apple-iphone-8-plus-space-grey-64-gb/p/itmexrgvehtzhh9v?pid=MOBEXRGVQKBREZP8"/>
        <s v="https://www.flipkart.com/apple-iphone-8-space-grey-256-gb/p/itmexrgvypzqw6df?pid=MOBEXRGVZFZGZEWV"/>
        <s v="https://www.flipkart.com/apple-iphone-xs-max-silver-64-gb/p/itmf944ehzsh7emx?pid=MOBF944E2XAHW8V5"/>
        <s v="https://www.flipkart.com/apple-iphone-xr-product-red-128-gb-includes-earpods-power-adapter/p/itmf9z7zbkvjzegf?pid=MOBF9Z7ZHQC23PWQ"/>
        <s v="https://www.flipkart.com/apple-iphone-xr-black-64-gb-includes-earpods-power-adapter/p/itmf9z7zxu4uqyz2?pid=MOBF9Z7ZPHGV4GNH"/>
        <s v="https://www.flipkart.com/apple-iphone-xr-coral-128-gb-includes-earpods-power-adapter/p/itmf9z7zgxx5wgez?pid=MOBF9Z7ZS6GF5UAP"/>
        <s v="https://www.flipkart.com/apple-iphone-xr-black-128-gb-includes-earpods-power-adapter/p/itmf9z7zhdgzwmzm?pid=MOBF9Z7ZYWNFGZUC"/>
        <s v="https://www.flipkart.com/apple-iphone-xr-white-128-gb-includes-earpods-power-adapter/p/itmf9z7zrz4tbhwm?pid=MOBF9Z7ZZY3HCDZZ"/>
        <s v="https://www.flipkart.com/apple-iphone-11-pro-max-gold-256-gb/p/itm94c6536eefc46?pid=MOBFKCTS7HCHSPFH"/>
        <s v="https://www.flipkart.com/apple-iphone-11-pro-max-gold-64-gb/p/itm6ef18218efdf6?pid=MOBFKCTSAPAYNSGG"/>
        <s v="https://www.flipkart.com/apple-iphone-11-pro-max-midnight-green-256-gb/p/itm68e0db18f9ecc?pid=MOBFKCTSCAAKGQV7"/>
        <s v="https://www.flipkart.com/apple-iphone-11-pro-max-space-grey-64-gb/p/itme0101031155f8?pid=MOBFKCTSKDMKCGQS"/>
        <s v="https://www.flipkart.com/apple-iphone-11-pro-midnight-green-64-gb/p/itm471de0d2e8474?pid=MOBFKCTSN3TG3RFJ"/>
        <s v="https://www.flipkart.com/apple-iphone-11-pro-space-grey-512-gb/p/itmcd1f0ddbf1c21?pid=MOBFKCTSRTHRQTFT"/>
        <s v="https://www.flipkart.com/apple-iphone-11-pro-max-midnight-green-64-gb/p/itmab1763b5ca244?pid=MOBFKCTSRYPAQNYT"/>
        <s v="https://www.flipkart.com/apple-iphone-11-pro-midnight-green-512-gb/p/itm0bdd954387ca9?pid=MOBFKCTSSJCWYGCC"/>
        <s v="https://www.flipkart.com/apple-iphone-11-pro-space-grey-256-gb/p/itmbecef22a95790?pid=MOBFKCTSWGYSAS9X"/>
        <s v="https://www.flipkart.com/apple-iphone-se-white-256-gb-includes-earpods-power-adapter/p/itm4d73793c30c4c?pid=MOBFRFXHPZCHAPEH"/>
        <s v="https://www.flipkart.com/apple-iphone-12-pro-silver-512-gb/p/itm0ccf9fc219a71?pid=MOBFWBYZ5UY6ZBVA"/>
        <s v="https://www.flipkart.com/apple-iphone-12-pro-max-pacific-blue-256-gb/p/itm3a0860c94250e?pid=MOBFWBYZ8STJXCVT"/>
        <s v="https://www.flipkart.com/apple-iphone-12-mini-white-128-gb/p/itm9098fa76548ba?pid=MOBFWBYZAGXJRDGB"/>
        <s v="https://www.flipkart.com/apple-iphone-12-pro-graphite-256-gb/p/itm4fa4da575698c?pid=MOBFWBYZBA36UB7G"/>
        <s v="https://www.flipkart.com/apple-iphone-12-mini-white-64-gb/p/itmf3b16d1640898?pid=MOBFWBYZBH4CEC4C"/>
        <s v="https://www.flipkart.com/apple-iphone-12-white-128-gb/p/itm95393f4c6cc59?pid=MOBFWBYZBTZFGJF9"/>
        <s v="https://www.flipkart.com/apple-iphone-12-pro-graphite-128-gb/p/itm03e5f2595d843?pid=MOBFWBYZBZ7Y56WD"/>
        <s v="https://www.flipkart.com/apple-iphone-12-pro-max-graphite-256-gb/p/itm8dbdf0b986725?pid=MOBFWBYZEF6XQ5ZW"/>
        <s v="https://www.flipkart.com/apple-iphone-12-pro-max-graphite-128-gb/p/itm973c298184f51?pid=MOBFWBYZFDGQSDWS"/>
        <s v="https://www.flipkart.com/apple-iphone-12-mini-black-128-gb/p/itm0eb512c195bdf?pid=MOBFWBYZH2AMPNPD"/>
        <s v="https://www.flipkart.com/apple-iphone-12-mini-blue-128-gb/p/itm9b6cdec9700ee?pid=MOBFWBYZHU58PHCZ"/>
        <s v="https://www.flipkart.com/apple-iphone-12-black-128-gb/p/itmf1f0a58f1ecd7?pid=MOBFWBYZK3HACR72"/>
        <s v="https://www.flipkart.com/apple-iphone-12-blue-128-gb/p/itm02853ae92e90a?pid=MOBFWBYZKPTZF9VG"/>
        <s v="https://www.flipkart.com/apple-iphone-12-pro-max-silver-128-gb/p/itm5a51ba742a17e?pid=MOBFWBYZNSNVGGZC"/>
        <s v="https://www.flipkart.com/apple-iphone-12-mini-red-64-gb/p/itm255dd64643767?pid=MOBFWBYZNVWGWN2U"/>
        <s v="https://www.flipkart.com/apple-iphone-12-pro-max-gold-128-gb/p/itme3ae592065711?pid=MOBFWBYZQVKT77YH"/>
        <s v="https://www.flipkart.com/apple-iphone-12-green-128-gb/p/itm4e0a120f7d9c4?pid=MOBFWBYZQXUEHF48"/>
        <s v="https://www.flipkart.com/apple-iphone-12-pro-pacific-blue-512-gb/p/itm8a39d6779b04e?pid=MOBFWBYZTHSXKMGW"/>
        <s v="https://www.flipkart.com/apple-iphone-12-white-64-gb/p/itm8b88bdc03cd79?pid=MOBFWBYZTK33MBG9"/>
        <s v="https://www.flipkart.com/apple-iphone-12-black-64-gb/p/itma2559422bf7c7?pid=MOBFWBYZU5FWK2VP"/>
        <s v="https://www.flipkart.com/apple-iphone-12-red-128-gb/p/itma7bd86885ed98?pid=MOBFWBYZUHPFWQRD"/>
        <s v="https://www.flipkart.com/apple-iphone-12-mini-black-64-gb/p/itm38b727191eb08?pid=MOBFWBYZXSEGBS6F"/>
        <s v="https://www.flipkart.com/apple-iphone-12-pro-pacific-blue-128-gb/p/itm97c833296c221?pid=MOBFWBYZXYSCEEEH"/>
        <s v="https://www.flipkart.com/apple-iphone-12-pro-max-pacific-blue-128-gb/p/itmd89812b558a03?pid=MOBFWBYZZABKHZQA"/>
        <s v="https://www.flipkart.com/apple-iphone-12-pro-max-silver-256-gb/p/itm30faf74442adb?pid=MOBFWBYZZH4AM8FE"/>
        <s v="https://www.flipkart.com/apple-iphone-12-pro-max-gold-256-gb/p/itm1e0354f5bbc8c?pid=MOBFWBYZZPW8JHQF"/>
        <s v="https://www.flipkart.com/apple-iphone-11-white-128-gb/p/itme32df47ea6742?pid=MOBFWQ6B7KKRXDDS"/>
        <s v="https://www.flipkart.com/apple-iphone-11-red-128-gb/p/itm8d14bd0e33a1c?pid=MOBFWQ6BEZTNK59G"/>
        <s v="https://www.flipkart.com/apple-iphone-se-white-64-gb/p/itma00a19e11c81b?pid=MOBFWQ6BGWDVGF3E"/>
        <s v="https://www.flipkart.com/apple-iphone-se-black-128-gb/p/itma9285ccc6af28?pid=MOBFWQ6BHUEVZPXD"/>
        <s v="https://www.flipkart.com/apple-iphone-se-white-128-gb/p/itmc2a0f593a4ad8?pid=MOBFWQ6BJEHMUUZY"/>
        <s v="https://www.flipkart.com/apple-iphone-se-red-128-gb/p/itma4202509da171?pid=MOBFWQ6BJTVFKPEJ"/>
        <s v="https://www.flipkart.com/apple-iphone-11-black-128-gb/p/itm8244e8d955aba?pid=MOBFWQ6BKRYBP5X8"/>
        <s v="https://www.flipkart.com/apple-iphone-se-black-64-gb/p/itm4d3d5718a5c95?pid=MOBFWQ6BR3MK7AUG"/>
        <s v="https://www.flipkart.com/apple-iphone-11-purple-64-gb/p/itm2b8d03427ddac?pid=MOBFWQ6BTFFJKGKE"/>
        <s v="https://www.flipkart.com/apple-iphone-11-white-64-gb/p/itmfc6a7091eb20b?pid=MOBFWQ6BVWVEH3XE"/>
        <s v="https://www.flipkart.com/apple-iphone-11-black-64-gb/p/itm4e5041ba101fd?pid=MOBFWQ6BXGJCEYNY"/>
        <s v="https://www.flipkart.com/apple-iphone-11-red-64-gb/p/itmc3935326f2feb?pid=MOBFWQ6BYYV3FCU7"/>
      </sharedItems>
    </cacheField>
    <cacheField name="Brand" numFmtId="0">
      <sharedItems count="1">
        <s v="Apple"/>
      </sharedItems>
    </cacheField>
    <cacheField name="Sale Price" numFmtId="0">
      <sharedItems containsSemiMixedTypes="0" containsString="0" containsNumber="1" containsInteger="1" minValue="29999" maxValue="140900" count="24">
        <n v="49900"/>
        <n v="84900"/>
        <n v="77000"/>
        <n v="89900"/>
        <n v="41999"/>
        <n v="39999"/>
        <n v="131900"/>
        <n v="117100"/>
        <n v="74999"/>
        <n v="117900"/>
        <n v="99900"/>
        <n v="44999"/>
        <n v="140900"/>
        <n v="130900"/>
        <n v="64900"/>
        <n v="120900"/>
        <n v="59900"/>
        <n v="75900"/>
        <n v="110900"/>
        <n v="70900"/>
        <n v="54999"/>
        <n v="29999"/>
        <n v="34999"/>
        <n v="46999"/>
      </sharedItems>
    </cacheField>
    <cacheField name="Mrp" numFmtId="0">
      <sharedItems containsSemiMixedTypes="0" containsString="0" containsNumber="1" containsInteger="1" minValue="39900" maxValue="149900" count="22">
        <n v="49900"/>
        <n v="84900"/>
        <n v="77000"/>
        <n v="89900"/>
        <n v="52900"/>
        <n v="47900"/>
        <n v="131900"/>
        <n v="117100"/>
        <n v="106600"/>
        <n v="140300"/>
        <n v="121300"/>
        <n v="54900"/>
        <n v="149900"/>
        <n v="139900"/>
        <n v="74900"/>
        <n v="129900"/>
        <n v="69900"/>
        <n v="119900"/>
        <n v="79900"/>
        <n v="59900"/>
        <n v="39900"/>
        <n v="44900"/>
      </sharedItems>
    </cacheField>
    <cacheField name="Discount Percentage" numFmtId="0">
      <sharedItems containsSemiMixedTypes="0" containsString="0" containsNumber="1" containsInteger="1" minValue="0" maxValue="29" count="16">
        <n v="0"/>
        <n v="20"/>
        <n v="16"/>
        <n v="29"/>
        <n v="15"/>
        <n v="17"/>
        <n v="18"/>
        <n v="6"/>
        <n v="13"/>
        <n v="14"/>
        <n v="10"/>
        <n v="7"/>
        <n v="11"/>
        <n v="8"/>
        <n v="24"/>
        <n v="22"/>
      </sharedItems>
    </cacheField>
    <cacheField name="Number Of Ratings" numFmtId="0">
      <sharedItems containsSemiMixedTypes="0" containsString="0" containsNumber="1" containsInteger="1" minValue="542" maxValue="95909" count="19">
        <n v="3431"/>
        <n v="11202"/>
        <n v="1454"/>
        <n v="79512"/>
        <n v="79582"/>
        <n v="1078"/>
        <n v="7088"/>
        <n v="7081"/>
        <n v="95909"/>
        <n v="542"/>
        <n v="580"/>
        <n v="740"/>
        <n v="545"/>
        <n v="2101"/>
        <n v="730"/>
        <n v="2092"/>
        <n v="43707"/>
        <n v="95807"/>
        <n v="43470"/>
      </sharedItems>
    </cacheField>
    <cacheField name="Number Of Reviews" numFmtId="0">
      <sharedItems containsSemiMixedTypes="0" containsString="0" containsNumber="1" containsInteger="1" minValue="42" maxValue="8161" count="18">
        <n v="356"/>
        <n v="794"/>
        <n v="149"/>
        <n v="6796"/>
        <n v="6804"/>
        <n v="101"/>
        <n v="523"/>
        <n v="522"/>
        <n v="8161"/>
        <n v="42"/>
        <n v="45"/>
        <n v="64"/>
        <n v="180"/>
        <n v="63"/>
        <n v="178"/>
        <n v="3357"/>
        <n v="8154"/>
        <n v="3331"/>
      </sharedItems>
    </cacheField>
    <cacheField name="Upc" numFmtId="0">
      <sharedItems count="62">
        <s v="MOBEXRGV7EHHTGUH"/>
        <s v="MOBEXRGVAC6TJT4F"/>
        <s v="MOBEXRGVGETABXWZ"/>
        <s v="MOBEXRGVMZWUHCBA"/>
        <s v="MOBEXRGVPK7PFEJZ"/>
        <s v="MOBEXRGVQGYYP8FV"/>
        <s v="MOBEXRGVQKBREZP8"/>
        <s v="MOBEXRGVZFZGZEWV"/>
        <s v="MOBF944E2XAHW8V5"/>
        <s v="MOBF9Z7ZHQC23PWQ"/>
        <s v="MOBF9Z7ZPHGV4GNH"/>
        <s v="MOBF9Z7ZS6GF5UAP"/>
        <s v="MOBF9Z7ZYWNFGZUC"/>
        <s v="MOBF9Z7ZZY3HCDZZ"/>
        <s v="MOBFKCTS7HCHSPFH"/>
        <s v="MOBFKCTSAPAYNSGG"/>
        <s v="MOBFKCTSCAAKGQV7"/>
        <s v="MOBFKCTSKDMKCGQS"/>
        <s v="MOBFKCTSN3TG3RFJ"/>
        <s v="MOBFKCTSRTHRQTFT"/>
        <s v="MOBFKCTSRYPAQNYT"/>
        <s v="MOBFKCTSSJCWYGCC"/>
        <s v="MOBFKCTSWGYSAS9X"/>
        <s v="MOBFRFXHPZCHAPEH"/>
        <s v="MOBFWBYZ5UY6ZBVA"/>
        <s v="MOBFWBYZ8STJXCVT"/>
        <s v="MOBFWBYZAGXJRDGB"/>
        <s v="MOBFWBYZBA36UB7G"/>
        <s v="MOBFWBYZBH4CEC4C"/>
        <s v="MOBFWBYZBTZFGJF9"/>
        <s v="MOBFWBYZBZ7Y56WD"/>
        <s v="MOBFWBYZEF6XQ5ZW"/>
        <s v="MOBFWBYZFDGQSDWS"/>
        <s v="MOBFWBYZH2AMPNPD"/>
        <s v="MOBFWBYZHU58PHCZ"/>
        <s v="MOBFWBYZK3HACR72"/>
        <s v="MOBFWBYZKPTZF9VG"/>
        <s v="MOBFWBYZNSNVGGZC"/>
        <s v="MOBFWBYZNVWGWN2U"/>
        <s v="MOBFWBYZQVKT77YH"/>
        <s v="MOBFWBYZQXUEHF48"/>
        <s v="MOBFWBYZTHSXKMGW"/>
        <s v="MOBFWBYZTK33MBG9"/>
        <s v="MOBFWBYZU5FWK2VP"/>
        <s v="MOBFWBYZUHPFWQRD"/>
        <s v="MOBFWBYZXSEGBS6F"/>
        <s v="MOBFWBYZXYSCEEEH"/>
        <s v="MOBFWBYZZABKHZQA"/>
        <s v="MOBFWBYZZH4AM8FE"/>
        <s v="MOBFWBYZZPW8JHQF"/>
        <s v="MOBFWQ6B7KKRXDDS"/>
        <s v="MOBFWQ6BEZTNK59G"/>
        <s v="MOBFWQ6BGWDVGF3E"/>
        <s v="MOBFWQ6BHUEVZPXD"/>
        <s v="MOBFWQ6BJEHMUUZY"/>
        <s v="MOBFWQ6BJTVFKPEJ"/>
        <s v="MOBFWQ6BKRYBP5X8"/>
        <s v="MOBFWQ6BR3MK7AUG"/>
        <s v="MOBFWQ6BTFFJKGKE"/>
        <s v="MOBFWQ6BVWVEH3XE"/>
        <s v="MOBFWQ6BXGJCEYNY"/>
        <s v="MOBFWQ6BYYV3FCU7"/>
      </sharedItems>
    </cacheField>
    <cacheField name="Star Rating" numFmtId="0">
      <sharedItems containsSemiMixedTypes="0" containsString="0" containsNumber="1" minValue="4.5" maxValue="4.7" count="3">
        <n v="4.5999999999999996"/>
        <n v="4.5"/>
        <n v="4.7"/>
      </sharedItems>
    </cacheField>
    <cacheField name="Ram" numFmtId="0">
      <sharedItems count="4">
        <s v="2 GB"/>
        <s v="4 GB"/>
        <s v="3 GB"/>
        <s v="6 GB"/>
      </sharedItems>
    </cacheField>
  </cacheFields>
  <extLst>
    <ext xmlns:x14="http://schemas.microsoft.com/office/spreadsheetml/2009/9/main" uri="{725AE2AE-9491-48be-B2B4-4EB974FC3084}">
      <x14:pivotCacheDefinition pivotCacheId="868447209"/>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856.463238194447" backgroundQuery="1" createdVersion="8" refreshedVersion="8" minRefreshableVersion="3" recordCount="0" supportSubquery="1" supportAdvancedDrill="1" xr:uid="{11698868-8284-4F36-8754-5BAECDD34055}">
  <cacheSource type="external" connectionId="1"/>
  <cacheFields count="2">
    <cacheField name="[Apple].[Product Name].[Product Name]" caption="Product Name" numFmtId="0" level="1">
      <sharedItems count="5">
        <s v="APPLE iPhone 11 Pro (Midnight Green, 512 GB)"/>
        <s v="APPLE iPhone 11 Pro (Midnight Green, 64 GB)"/>
        <s v="APPLE iPhone 11 Pro (Space Grey, 256 GB)"/>
        <s v="APPLE iPhone 11 Pro (Space Grey, 512 GB)"/>
        <s v="Apple iPhone XR ((PRODUCT)RED, 128 GB) (Includes EarPods, Power Adapter)"/>
      </sharedItems>
    </cacheField>
    <cacheField name="[Measures].[Sum of Discount Amount]" caption="Sum of Discount Amount" numFmtId="0" hierarchy="14" level="32767"/>
  </cacheFields>
  <cacheHierarchies count="17">
    <cacheHierarchy uniqueName="[Apple].[Product Name]" caption="Product Name" attribute="1" defaultMemberUniqueName="[Apple].[Product Name].[All]" allUniqueName="[Apple].[Product Name].[All]" dimensionUniqueName="[Apple]" displayFolder="" count="2" memberValueDatatype="130" unbalanced="0">
      <fieldsUsage count="2">
        <fieldUsage x="-1"/>
        <fieldUsage x="0"/>
      </fieldsUsage>
    </cacheHierarchy>
    <cacheHierarchy uniqueName="[Apple].[Product URL]" caption="Product URL" attribute="1" defaultMemberUniqueName="[Apple].[Product URL].[All]" allUniqueName="[Apple].[Product URL].[All]" dimensionUniqueName="[Apple]" displayFolder="" count="0" memberValueDatatype="130" unbalanced="0"/>
    <cacheHierarchy uniqueName="[Apple].[Brand]" caption="Brand" attribute="1" defaultMemberUniqueName="[Apple].[Brand].[All]" allUniqueName="[Apple].[Brand].[All]" dimensionUniqueName="[Apple]" displayFolder="" count="0" memberValueDatatype="130" unbalanced="0"/>
    <cacheHierarchy uniqueName="[Apple].[Sale Price]" caption="Sale Price" attribute="1" defaultMemberUniqueName="[Apple].[Sale Price].[All]" allUniqueName="[Apple].[Sale Price].[All]" dimensionUniqueName="[Apple]" displayFolder="" count="0" memberValueDatatype="20" unbalanced="0"/>
    <cacheHierarchy uniqueName="[Apple].[Mrp]" caption="Mrp" attribute="1" defaultMemberUniqueName="[Apple].[Mrp].[All]" allUniqueName="[Apple].[Mrp].[All]" dimensionUniqueName="[Apple]" displayFolder="" count="0" memberValueDatatype="20" unbalanced="0"/>
    <cacheHierarchy uniqueName="[Apple].[Discount Amount]" caption="Discount Amount" attribute="1" defaultMemberUniqueName="[Apple].[Discount Amount].[All]" allUniqueName="[Apple].[Discount Amount].[All]" dimensionUniqueName="[Apple]" displayFolder="" count="0" memberValueDatatype="20" unbalanced="0"/>
    <cacheHierarchy uniqueName="[Apple].[Discount Percentage]" caption="Discount Percentage" attribute="1" defaultMemberUniqueName="[Apple].[Discount Percentage].[All]" allUniqueName="[Apple].[Discount Percentage].[All]" dimensionUniqueName="[Apple]" displayFolder="" count="0" memberValueDatatype="20" unbalanced="0"/>
    <cacheHierarchy uniqueName="[Apple].[Number Of Ratings]" caption="Number Of Ratings" attribute="1" defaultMemberUniqueName="[Apple].[Number Of Ratings].[All]" allUniqueName="[Apple].[Number Of Ratings].[All]" dimensionUniqueName="[Apple]" displayFolder="" count="0" memberValueDatatype="20" unbalanced="0"/>
    <cacheHierarchy uniqueName="[Apple].[Number Of Reviews]" caption="Number Of Reviews" attribute="1" defaultMemberUniqueName="[Apple].[Number Of Reviews].[All]" allUniqueName="[Apple].[Number Of Reviews].[All]" dimensionUniqueName="[Apple]" displayFolder="" count="0" memberValueDatatype="20" unbalanced="0"/>
    <cacheHierarchy uniqueName="[Apple].[Upc]" caption="Upc" attribute="1" defaultMemberUniqueName="[Apple].[Upc].[All]" allUniqueName="[Apple].[Upc].[All]" dimensionUniqueName="[Apple]" displayFolder="" count="0" memberValueDatatype="130" unbalanced="0"/>
    <cacheHierarchy uniqueName="[Apple].[Star Rating]" caption="Star Rating" attribute="1" defaultMemberUniqueName="[Apple].[Star Rating].[All]" allUniqueName="[Apple].[Star Rating].[All]" dimensionUniqueName="[Apple]" displayFolder="" count="0" memberValueDatatype="5" unbalanced="0"/>
    <cacheHierarchy uniqueName="[Apple].[Ram]" caption="Ram" attribute="1" defaultMemberUniqueName="[Apple].[Ram].[All]" allUniqueName="[Apple].[Ram].[All]" dimensionUniqueName="[Apple]" displayFolder="" count="0" memberValueDatatype="130" unbalanced="0"/>
    <cacheHierarchy uniqueName="[Measures].[__XL_Count Apple]" caption="__XL_Count Apple" measure="1" displayFolder="" measureGroup="Apple" count="0" hidden="1"/>
    <cacheHierarchy uniqueName="[Measures].[__No measures defined]" caption="__No measures defined" measure="1" displayFolder="" count="0" hidden="1"/>
    <cacheHierarchy uniqueName="[Measures].[Sum of Discount Amount]" caption="Sum of Discount Amount" measure="1" displayFolder="" measureGroup="Apple" count="0" oneField="1" hidden="1">
      <fieldsUsage count="1">
        <fieldUsage x="1"/>
      </fieldsUsage>
      <extLst>
        <ext xmlns:x15="http://schemas.microsoft.com/office/spreadsheetml/2010/11/main" uri="{B97F6D7D-B522-45F9-BDA1-12C45D357490}">
          <x15:cacheHierarchy aggregatedColumn="5"/>
        </ext>
      </extLst>
    </cacheHierarchy>
    <cacheHierarchy uniqueName="[Measures].[Sum of Number Of Ratings]" caption="Sum of Number Of Ratings" measure="1" displayFolder="" measureGroup="Apple" count="0" hidden="1">
      <extLst>
        <ext xmlns:x15="http://schemas.microsoft.com/office/spreadsheetml/2010/11/main" uri="{B97F6D7D-B522-45F9-BDA1-12C45D357490}">
          <x15:cacheHierarchy aggregatedColumn="7"/>
        </ext>
      </extLst>
    </cacheHierarchy>
    <cacheHierarchy uniqueName="[Measures].[Sum of Star Rating]" caption="Sum of Star Rating" measure="1" displayFolder="" measureGroup="Apple" count="0" hidden="1">
      <extLst>
        <ext xmlns:x15="http://schemas.microsoft.com/office/spreadsheetml/2010/11/main" uri="{B97F6D7D-B522-45F9-BDA1-12C45D357490}">
          <x15:cacheHierarchy aggregatedColumn="10"/>
        </ext>
      </extLst>
    </cacheHierarchy>
  </cacheHierarchies>
  <kpis count="0"/>
  <dimensions count="2">
    <dimension name="Apple" uniqueName="[Apple]" caption="Apple"/>
    <dimension measure="1" name="Measures" uniqueName="[Measures]" caption="Measures"/>
  </dimensions>
  <measureGroups count="1">
    <measureGroup name="Apple" caption="Appl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856.467205555557" backgroundQuery="1" createdVersion="8" refreshedVersion="8" minRefreshableVersion="3" recordCount="0" supportSubquery="1" supportAdvancedDrill="1" xr:uid="{999757DB-94E7-4D0F-B827-BD3F3533407C}">
  <cacheSource type="external" connectionId="1"/>
  <cacheFields count="2">
    <cacheField name="[Measures].[Sum of Number Of Ratings]" caption="Sum of Number Of Ratings" numFmtId="0" hierarchy="15" level="32767"/>
    <cacheField name="[Apple].[Product Name].[Product Name]" caption="Product Name" numFmtId="0" level="1">
      <sharedItems count="5">
        <s v="APPLE iPhone SE (Black, 128 GB)"/>
        <s v="APPLE iPhone SE (Black, 64 GB)"/>
        <s v="APPLE iPhone SE (Red, 128 GB)"/>
        <s v="APPLE iPhone SE (White, 128 GB)"/>
        <s v="Apple iPhone SE (White, 256 GB) (Includes EarPods, Power Adapter)"/>
      </sharedItems>
    </cacheField>
  </cacheFields>
  <cacheHierarchies count="17">
    <cacheHierarchy uniqueName="[Apple].[Product Name]" caption="Product Name" attribute="1" defaultMemberUniqueName="[Apple].[Product Name].[All]" allUniqueName="[Apple].[Product Name].[All]" dimensionUniqueName="[Apple]" displayFolder="" count="2" memberValueDatatype="130" unbalanced="0">
      <fieldsUsage count="2">
        <fieldUsage x="-1"/>
        <fieldUsage x="1"/>
      </fieldsUsage>
    </cacheHierarchy>
    <cacheHierarchy uniqueName="[Apple].[Product URL]" caption="Product URL" attribute="1" defaultMemberUniqueName="[Apple].[Product URL].[All]" allUniqueName="[Apple].[Product URL].[All]" dimensionUniqueName="[Apple]" displayFolder="" count="0" memberValueDatatype="130" unbalanced="0"/>
    <cacheHierarchy uniqueName="[Apple].[Brand]" caption="Brand" attribute="1" defaultMemberUniqueName="[Apple].[Brand].[All]" allUniqueName="[Apple].[Brand].[All]" dimensionUniqueName="[Apple]" displayFolder="" count="0" memberValueDatatype="130" unbalanced="0"/>
    <cacheHierarchy uniqueName="[Apple].[Sale Price]" caption="Sale Price" attribute="1" defaultMemberUniqueName="[Apple].[Sale Price].[All]" allUniqueName="[Apple].[Sale Price].[All]" dimensionUniqueName="[Apple]" displayFolder="" count="0" memberValueDatatype="20" unbalanced="0"/>
    <cacheHierarchy uniqueName="[Apple].[Mrp]" caption="Mrp" attribute="1" defaultMemberUniqueName="[Apple].[Mrp].[All]" allUniqueName="[Apple].[Mrp].[All]" dimensionUniqueName="[Apple]" displayFolder="" count="0" memberValueDatatype="20" unbalanced="0"/>
    <cacheHierarchy uniqueName="[Apple].[Discount Amount]" caption="Discount Amount" attribute="1" defaultMemberUniqueName="[Apple].[Discount Amount].[All]" allUniqueName="[Apple].[Discount Amount].[All]" dimensionUniqueName="[Apple]" displayFolder="" count="0" memberValueDatatype="20" unbalanced="0"/>
    <cacheHierarchy uniqueName="[Apple].[Discount Percentage]" caption="Discount Percentage" attribute="1" defaultMemberUniqueName="[Apple].[Discount Percentage].[All]" allUniqueName="[Apple].[Discount Percentage].[All]" dimensionUniqueName="[Apple]" displayFolder="" count="0" memberValueDatatype="20" unbalanced="0"/>
    <cacheHierarchy uniqueName="[Apple].[Number Of Ratings]" caption="Number Of Ratings" attribute="1" defaultMemberUniqueName="[Apple].[Number Of Ratings].[All]" allUniqueName="[Apple].[Number Of Ratings].[All]" dimensionUniqueName="[Apple]" displayFolder="" count="0" memberValueDatatype="20" unbalanced="0"/>
    <cacheHierarchy uniqueName="[Apple].[Number Of Reviews]" caption="Number Of Reviews" attribute="1" defaultMemberUniqueName="[Apple].[Number Of Reviews].[All]" allUniqueName="[Apple].[Number Of Reviews].[All]" dimensionUniqueName="[Apple]" displayFolder="" count="0" memberValueDatatype="20" unbalanced="0"/>
    <cacheHierarchy uniqueName="[Apple].[Upc]" caption="Upc" attribute="1" defaultMemberUniqueName="[Apple].[Upc].[All]" allUniqueName="[Apple].[Upc].[All]" dimensionUniqueName="[Apple]" displayFolder="" count="0" memberValueDatatype="130" unbalanced="0"/>
    <cacheHierarchy uniqueName="[Apple].[Star Rating]" caption="Star Rating" attribute="1" defaultMemberUniqueName="[Apple].[Star Rating].[All]" allUniqueName="[Apple].[Star Rating].[All]" dimensionUniqueName="[Apple]" displayFolder="" count="0" memberValueDatatype="5" unbalanced="0"/>
    <cacheHierarchy uniqueName="[Apple].[Ram]" caption="Ram" attribute="1" defaultMemberUniqueName="[Apple].[Ram].[All]" allUniqueName="[Apple].[Ram].[All]" dimensionUniqueName="[Apple]" displayFolder="" count="0" memberValueDatatype="130" unbalanced="0"/>
    <cacheHierarchy uniqueName="[Measures].[__XL_Count Apple]" caption="__XL_Count Apple" measure="1" displayFolder="" measureGroup="Apple" count="0" hidden="1"/>
    <cacheHierarchy uniqueName="[Measures].[__No measures defined]" caption="__No measures defined" measure="1" displayFolder="" count="0" hidden="1"/>
    <cacheHierarchy uniqueName="[Measures].[Sum of Discount Amount]" caption="Sum of Discount Amount" measure="1" displayFolder="" measureGroup="Apple" count="0" hidden="1">
      <extLst>
        <ext xmlns:x15="http://schemas.microsoft.com/office/spreadsheetml/2010/11/main" uri="{B97F6D7D-B522-45F9-BDA1-12C45D357490}">
          <x15:cacheHierarchy aggregatedColumn="5"/>
        </ext>
      </extLst>
    </cacheHierarchy>
    <cacheHierarchy uniqueName="[Measures].[Sum of Number Of Ratings]" caption="Sum of Number Of Ratings" measure="1" displayFolder="" measureGroup="Apple" count="0" oneField="1" hidden="1">
      <fieldsUsage count="1">
        <fieldUsage x="0"/>
      </fieldsUsage>
      <extLst>
        <ext xmlns:x15="http://schemas.microsoft.com/office/spreadsheetml/2010/11/main" uri="{B97F6D7D-B522-45F9-BDA1-12C45D357490}">
          <x15:cacheHierarchy aggregatedColumn="7"/>
        </ext>
      </extLst>
    </cacheHierarchy>
    <cacheHierarchy uniqueName="[Measures].[Sum of Star Rating]" caption="Sum of Star Rating" measure="1" displayFolder="" measureGroup="Apple" count="0" hidden="1">
      <extLst>
        <ext xmlns:x15="http://schemas.microsoft.com/office/spreadsheetml/2010/11/main" uri="{B97F6D7D-B522-45F9-BDA1-12C45D357490}">
          <x15:cacheHierarchy aggregatedColumn="10"/>
        </ext>
      </extLst>
    </cacheHierarchy>
  </cacheHierarchies>
  <kpis count="0"/>
  <dimensions count="2">
    <dimension name="Apple" uniqueName="[Apple]" caption="Apple"/>
    <dimension measure="1" name="Measures" uniqueName="[Measures]" caption="Measures"/>
  </dimensions>
  <measureGroups count="1">
    <measureGroup name="Apple" caption="Appl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2">
  <r>
    <x v="0"/>
    <x v="0"/>
    <x v="0"/>
    <x v="0"/>
    <x v="0"/>
    <x v="0"/>
    <x v="0"/>
    <x v="0"/>
    <x v="0"/>
    <x v="0"/>
    <x v="0"/>
  </r>
  <r>
    <x v="1"/>
    <x v="1"/>
    <x v="0"/>
    <x v="1"/>
    <x v="1"/>
    <x v="0"/>
    <x v="0"/>
    <x v="0"/>
    <x v="1"/>
    <x v="0"/>
    <x v="0"/>
  </r>
  <r>
    <x v="2"/>
    <x v="2"/>
    <x v="0"/>
    <x v="1"/>
    <x v="1"/>
    <x v="0"/>
    <x v="0"/>
    <x v="0"/>
    <x v="2"/>
    <x v="0"/>
    <x v="0"/>
  </r>
  <r>
    <x v="3"/>
    <x v="3"/>
    <x v="0"/>
    <x v="2"/>
    <x v="2"/>
    <x v="0"/>
    <x v="1"/>
    <x v="1"/>
    <x v="3"/>
    <x v="1"/>
    <x v="0"/>
  </r>
  <r>
    <x v="4"/>
    <x v="4"/>
    <x v="0"/>
    <x v="2"/>
    <x v="2"/>
    <x v="0"/>
    <x v="1"/>
    <x v="1"/>
    <x v="4"/>
    <x v="1"/>
    <x v="0"/>
  </r>
  <r>
    <x v="5"/>
    <x v="5"/>
    <x v="0"/>
    <x v="0"/>
    <x v="0"/>
    <x v="0"/>
    <x v="0"/>
    <x v="0"/>
    <x v="5"/>
    <x v="0"/>
    <x v="0"/>
  </r>
  <r>
    <x v="6"/>
    <x v="6"/>
    <x v="0"/>
    <x v="0"/>
    <x v="0"/>
    <x v="0"/>
    <x v="0"/>
    <x v="0"/>
    <x v="6"/>
    <x v="0"/>
    <x v="0"/>
  </r>
  <r>
    <x v="7"/>
    <x v="7"/>
    <x v="0"/>
    <x v="2"/>
    <x v="2"/>
    <x v="0"/>
    <x v="1"/>
    <x v="1"/>
    <x v="7"/>
    <x v="1"/>
    <x v="0"/>
  </r>
  <r>
    <x v="8"/>
    <x v="8"/>
    <x v="0"/>
    <x v="3"/>
    <x v="3"/>
    <x v="0"/>
    <x v="2"/>
    <x v="2"/>
    <x v="8"/>
    <x v="0"/>
    <x v="1"/>
  </r>
  <r>
    <x v="9"/>
    <x v="9"/>
    <x v="0"/>
    <x v="4"/>
    <x v="4"/>
    <x v="1"/>
    <x v="3"/>
    <x v="3"/>
    <x v="9"/>
    <x v="0"/>
    <x v="1"/>
  </r>
  <r>
    <x v="10"/>
    <x v="10"/>
    <x v="0"/>
    <x v="5"/>
    <x v="5"/>
    <x v="2"/>
    <x v="3"/>
    <x v="3"/>
    <x v="10"/>
    <x v="0"/>
    <x v="1"/>
  </r>
  <r>
    <x v="11"/>
    <x v="11"/>
    <x v="0"/>
    <x v="4"/>
    <x v="4"/>
    <x v="1"/>
    <x v="4"/>
    <x v="4"/>
    <x v="11"/>
    <x v="0"/>
    <x v="1"/>
  </r>
  <r>
    <x v="12"/>
    <x v="12"/>
    <x v="0"/>
    <x v="4"/>
    <x v="4"/>
    <x v="1"/>
    <x v="3"/>
    <x v="3"/>
    <x v="12"/>
    <x v="0"/>
    <x v="2"/>
  </r>
  <r>
    <x v="13"/>
    <x v="13"/>
    <x v="0"/>
    <x v="4"/>
    <x v="4"/>
    <x v="1"/>
    <x v="3"/>
    <x v="3"/>
    <x v="13"/>
    <x v="0"/>
    <x v="1"/>
  </r>
  <r>
    <x v="14"/>
    <x v="14"/>
    <x v="0"/>
    <x v="6"/>
    <x v="6"/>
    <x v="0"/>
    <x v="5"/>
    <x v="5"/>
    <x v="14"/>
    <x v="2"/>
    <x v="1"/>
  </r>
  <r>
    <x v="15"/>
    <x v="15"/>
    <x v="0"/>
    <x v="7"/>
    <x v="7"/>
    <x v="0"/>
    <x v="5"/>
    <x v="5"/>
    <x v="15"/>
    <x v="2"/>
    <x v="1"/>
  </r>
  <r>
    <x v="16"/>
    <x v="16"/>
    <x v="0"/>
    <x v="6"/>
    <x v="6"/>
    <x v="0"/>
    <x v="5"/>
    <x v="5"/>
    <x v="16"/>
    <x v="2"/>
    <x v="1"/>
  </r>
  <r>
    <x v="17"/>
    <x v="17"/>
    <x v="0"/>
    <x v="7"/>
    <x v="7"/>
    <x v="0"/>
    <x v="5"/>
    <x v="5"/>
    <x v="17"/>
    <x v="2"/>
    <x v="1"/>
  </r>
  <r>
    <x v="18"/>
    <x v="18"/>
    <x v="0"/>
    <x v="8"/>
    <x v="8"/>
    <x v="3"/>
    <x v="6"/>
    <x v="6"/>
    <x v="18"/>
    <x v="0"/>
    <x v="1"/>
  </r>
  <r>
    <x v="19"/>
    <x v="19"/>
    <x v="0"/>
    <x v="9"/>
    <x v="9"/>
    <x v="4"/>
    <x v="6"/>
    <x v="6"/>
    <x v="19"/>
    <x v="0"/>
    <x v="1"/>
  </r>
  <r>
    <x v="20"/>
    <x v="20"/>
    <x v="0"/>
    <x v="7"/>
    <x v="7"/>
    <x v="0"/>
    <x v="5"/>
    <x v="5"/>
    <x v="20"/>
    <x v="2"/>
    <x v="1"/>
  </r>
  <r>
    <x v="21"/>
    <x v="21"/>
    <x v="0"/>
    <x v="9"/>
    <x v="9"/>
    <x v="4"/>
    <x v="6"/>
    <x v="6"/>
    <x v="21"/>
    <x v="0"/>
    <x v="1"/>
  </r>
  <r>
    <x v="22"/>
    <x v="22"/>
    <x v="0"/>
    <x v="10"/>
    <x v="10"/>
    <x v="5"/>
    <x v="7"/>
    <x v="7"/>
    <x v="22"/>
    <x v="0"/>
    <x v="1"/>
  </r>
  <r>
    <x v="23"/>
    <x v="23"/>
    <x v="0"/>
    <x v="11"/>
    <x v="11"/>
    <x v="6"/>
    <x v="8"/>
    <x v="8"/>
    <x v="23"/>
    <x v="1"/>
    <x v="0"/>
  </r>
  <r>
    <x v="24"/>
    <x v="24"/>
    <x v="0"/>
    <x v="12"/>
    <x v="12"/>
    <x v="7"/>
    <x v="9"/>
    <x v="9"/>
    <x v="24"/>
    <x v="1"/>
    <x v="1"/>
  </r>
  <r>
    <x v="25"/>
    <x v="25"/>
    <x v="0"/>
    <x v="13"/>
    <x v="13"/>
    <x v="7"/>
    <x v="10"/>
    <x v="10"/>
    <x v="25"/>
    <x v="0"/>
    <x v="3"/>
  </r>
  <r>
    <x v="26"/>
    <x v="26"/>
    <x v="0"/>
    <x v="14"/>
    <x v="14"/>
    <x v="8"/>
    <x v="11"/>
    <x v="11"/>
    <x v="26"/>
    <x v="1"/>
    <x v="1"/>
  </r>
  <r>
    <x v="27"/>
    <x v="27"/>
    <x v="0"/>
    <x v="15"/>
    <x v="15"/>
    <x v="7"/>
    <x v="12"/>
    <x v="9"/>
    <x v="27"/>
    <x v="1"/>
    <x v="3"/>
  </r>
  <r>
    <x v="28"/>
    <x v="28"/>
    <x v="0"/>
    <x v="16"/>
    <x v="16"/>
    <x v="9"/>
    <x v="11"/>
    <x v="11"/>
    <x v="28"/>
    <x v="1"/>
    <x v="1"/>
  </r>
  <r>
    <x v="29"/>
    <x v="29"/>
    <x v="0"/>
    <x v="17"/>
    <x v="1"/>
    <x v="10"/>
    <x v="13"/>
    <x v="12"/>
    <x v="29"/>
    <x v="0"/>
    <x v="3"/>
  </r>
  <r>
    <x v="30"/>
    <x v="30"/>
    <x v="0"/>
    <x v="18"/>
    <x v="17"/>
    <x v="11"/>
    <x v="12"/>
    <x v="9"/>
    <x v="30"/>
    <x v="1"/>
    <x v="3"/>
  </r>
  <r>
    <x v="31"/>
    <x v="31"/>
    <x v="0"/>
    <x v="13"/>
    <x v="13"/>
    <x v="7"/>
    <x v="10"/>
    <x v="10"/>
    <x v="31"/>
    <x v="0"/>
    <x v="3"/>
  </r>
  <r>
    <x v="32"/>
    <x v="32"/>
    <x v="0"/>
    <x v="15"/>
    <x v="15"/>
    <x v="7"/>
    <x v="10"/>
    <x v="10"/>
    <x v="32"/>
    <x v="0"/>
    <x v="3"/>
  </r>
  <r>
    <x v="33"/>
    <x v="33"/>
    <x v="0"/>
    <x v="14"/>
    <x v="14"/>
    <x v="8"/>
    <x v="14"/>
    <x v="13"/>
    <x v="33"/>
    <x v="1"/>
    <x v="1"/>
  </r>
  <r>
    <x v="34"/>
    <x v="34"/>
    <x v="0"/>
    <x v="14"/>
    <x v="14"/>
    <x v="8"/>
    <x v="14"/>
    <x v="13"/>
    <x v="34"/>
    <x v="1"/>
    <x v="1"/>
  </r>
  <r>
    <x v="35"/>
    <x v="35"/>
    <x v="0"/>
    <x v="17"/>
    <x v="1"/>
    <x v="10"/>
    <x v="13"/>
    <x v="12"/>
    <x v="35"/>
    <x v="0"/>
    <x v="3"/>
  </r>
  <r>
    <x v="36"/>
    <x v="36"/>
    <x v="0"/>
    <x v="17"/>
    <x v="1"/>
    <x v="10"/>
    <x v="13"/>
    <x v="12"/>
    <x v="36"/>
    <x v="0"/>
    <x v="3"/>
  </r>
  <r>
    <x v="37"/>
    <x v="37"/>
    <x v="0"/>
    <x v="15"/>
    <x v="15"/>
    <x v="7"/>
    <x v="10"/>
    <x v="10"/>
    <x v="37"/>
    <x v="0"/>
    <x v="3"/>
  </r>
  <r>
    <x v="38"/>
    <x v="38"/>
    <x v="0"/>
    <x v="16"/>
    <x v="16"/>
    <x v="9"/>
    <x v="11"/>
    <x v="11"/>
    <x v="38"/>
    <x v="1"/>
    <x v="3"/>
  </r>
  <r>
    <x v="39"/>
    <x v="39"/>
    <x v="0"/>
    <x v="15"/>
    <x v="15"/>
    <x v="7"/>
    <x v="10"/>
    <x v="10"/>
    <x v="39"/>
    <x v="0"/>
    <x v="3"/>
  </r>
  <r>
    <x v="40"/>
    <x v="40"/>
    <x v="0"/>
    <x v="17"/>
    <x v="1"/>
    <x v="10"/>
    <x v="15"/>
    <x v="14"/>
    <x v="40"/>
    <x v="0"/>
    <x v="3"/>
  </r>
  <r>
    <x v="41"/>
    <x v="41"/>
    <x v="0"/>
    <x v="12"/>
    <x v="12"/>
    <x v="7"/>
    <x v="12"/>
    <x v="9"/>
    <x v="41"/>
    <x v="1"/>
    <x v="1"/>
  </r>
  <r>
    <x v="42"/>
    <x v="42"/>
    <x v="0"/>
    <x v="19"/>
    <x v="18"/>
    <x v="12"/>
    <x v="13"/>
    <x v="12"/>
    <x v="42"/>
    <x v="0"/>
    <x v="3"/>
  </r>
  <r>
    <x v="43"/>
    <x v="43"/>
    <x v="0"/>
    <x v="19"/>
    <x v="18"/>
    <x v="12"/>
    <x v="15"/>
    <x v="14"/>
    <x v="43"/>
    <x v="0"/>
    <x v="3"/>
  </r>
  <r>
    <x v="44"/>
    <x v="44"/>
    <x v="0"/>
    <x v="17"/>
    <x v="1"/>
    <x v="10"/>
    <x v="13"/>
    <x v="12"/>
    <x v="44"/>
    <x v="0"/>
    <x v="3"/>
  </r>
  <r>
    <x v="45"/>
    <x v="45"/>
    <x v="0"/>
    <x v="16"/>
    <x v="16"/>
    <x v="9"/>
    <x v="11"/>
    <x v="11"/>
    <x v="45"/>
    <x v="1"/>
    <x v="1"/>
  </r>
  <r>
    <x v="46"/>
    <x v="46"/>
    <x v="0"/>
    <x v="18"/>
    <x v="17"/>
    <x v="11"/>
    <x v="12"/>
    <x v="9"/>
    <x v="46"/>
    <x v="1"/>
    <x v="3"/>
  </r>
  <r>
    <x v="47"/>
    <x v="47"/>
    <x v="0"/>
    <x v="15"/>
    <x v="15"/>
    <x v="7"/>
    <x v="10"/>
    <x v="10"/>
    <x v="47"/>
    <x v="0"/>
    <x v="3"/>
  </r>
  <r>
    <x v="48"/>
    <x v="48"/>
    <x v="0"/>
    <x v="13"/>
    <x v="13"/>
    <x v="7"/>
    <x v="10"/>
    <x v="10"/>
    <x v="48"/>
    <x v="0"/>
    <x v="3"/>
  </r>
  <r>
    <x v="49"/>
    <x v="49"/>
    <x v="0"/>
    <x v="13"/>
    <x v="13"/>
    <x v="7"/>
    <x v="10"/>
    <x v="10"/>
    <x v="49"/>
    <x v="0"/>
    <x v="3"/>
  </r>
  <r>
    <x v="50"/>
    <x v="50"/>
    <x v="0"/>
    <x v="20"/>
    <x v="19"/>
    <x v="13"/>
    <x v="16"/>
    <x v="15"/>
    <x v="50"/>
    <x v="0"/>
    <x v="1"/>
  </r>
  <r>
    <x v="51"/>
    <x v="51"/>
    <x v="0"/>
    <x v="20"/>
    <x v="19"/>
    <x v="13"/>
    <x v="16"/>
    <x v="15"/>
    <x v="51"/>
    <x v="0"/>
    <x v="1"/>
  </r>
  <r>
    <x v="52"/>
    <x v="52"/>
    <x v="0"/>
    <x v="21"/>
    <x v="20"/>
    <x v="14"/>
    <x v="17"/>
    <x v="16"/>
    <x v="52"/>
    <x v="1"/>
    <x v="0"/>
  </r>
  <r>
    <x v="53"/>
    <x v="53"/>
    <x v="0"/>
    <x v="22"/>
    <x v="21"/>
    <x v="15"/>
    <x v="8"/>
    <x v="8"/>
    <x v="53"/>
    <x v="1"/>
    <x v="0"/>
  </r>
  <r>
    <x v="54"/>
    <x v="54"/>
    <x v="0"/>
    <x v="22"/>
    <x v="21"/>
    <x v="15"/>
    <x v="17"/>
    <x v="16"/>
    <x v="54"/>
    <x v="1"/>
    <x v="0"/>
  </r>
  <r>
    <x v="55"/>
    <x v="55"/>
    <x v="0"/>
    <x v="22"/>
    <x v="21"/>
    <x v="15"/>
    <x v="8"/>
    <x v="8"/>
    <x v="55"/>
    <x v="1"/>
    <x v="0"/>
  </r>
  <r>
    <x v="56"/>
    <x v="56"/>
    <x v="0"/>
    <x v="20"/>
    <x v="19"/>
    <x v="13"/>
    <x v="18"/>
    <x v="17"/>
    <x v="56"/>
    <x v="0"/>
    <x v="1"/>
  </r>
  <r>
    <x v="57"/>
    <x v="57"/>
    <x v="0"/>
    <x v="21"/>
    <x v="20"/>
    <x v="14"/>
    <x v="8"/>
    <x v="8"/>
    <x v="57"/>
    <x v="1"/>
    <x v="1"/>
  </r>
  <r>
    <x v="58"/>
    <x v="58"/>
    <x v="0"/>
    <x v="23"/>
    <x v="11"/>
    <x v="9"/>
    <x v="18"/>
    <x v="17"/>
    <x v="58"/>
    <x v="0"/>
    <x v="1"/>
  </r>
  <r>
    <x v="59"/>
    <x v="59"/>
    <x v="0"/>
    <x v="23"/>
    <x v="11"/>
    <x v="9"/>
    <x v="18"/>
    <x v="17"/>
    <x v="59"/>
    <x v="0"/>
    <x v="1"/>
  </r>
  <r>
    <x v="60"/>
    <x v="60"/>
    <x v="0"/>
    <x v="23"/>
    <x v="11"/>
    <x v="9"/>
    <x v="18"/>
    <x v="17"/>
    <x v="60"/>
    <x v="0"/>
    <x v="1"/>
  </r>
  <r>
    <x v="61"/>
    <x v="61"/>
    <x v="0"/>
    <x v="23"/>
    <x v="11"/>
    <x v="9"/>
    <x v="18"/>
    <x v="17"/>
    <x v="61"/>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E00DA7E-6492-4E08-A7F4-E2B5AA1C788D}" name="High sale" cacheId="32"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4" rowHeaderCaption="Model">
  <location ref="A3:B11" firstHeaderRow="1" firstDataRow="1" firstDataCol="1"/>
  <pivotFields count="11">
    <pivotField axis="axisRow" showAll="0" measureFilter="1" sortType="descending">
      <items count="63">
        <item x="56"/>
        <item x="60"/>
        <item x="58"/>
        <item x="51"/>
        <item x="61"/>
        <item x="50"/>
        <item x="59"/>
        <item x="21"/>
        <item x="18"/>
        <item x="22"/>
        <item x="19"/>
        <item x="14"/>
        <item x="15"/>
        <item x="16"/>
        <item x="20"/>
        <item x="17"/>
        <item x="35"/>
        <item x="43"/>
        <item x="36"/>
        <item x="40"/>
        <item x="44"/>
        <item x="29"/>
        <item x="42"/>
        <item x="33"/>
        <item x="45"/>
        <item x="34"/>
        <item x="38"/>
        <item x="26"/>
        <item x="28"/>
        <item x="30"/>
        <item x="27"/>
        <item x="46"/>
        <item x="41"/>
        <item x="24"/>
        <item x="39"/>
        <item x="49"/>
        <item x="32"/>
        <item x="31"/>
        <item x="47"/>
        <item x="25"/>
        <item x="37"/>
        <item x="48"/>
        <item x="4"/>
        <item x="3"/>
        <item x="7"/>
        <item x="0"/>
        <item x="2"/>
        <item x="5"/>
        <item x="1"/>
        <item x="6"/>
        <item x="53"/>
        <item x="57"/>
        <item x="55"/>
        <item x="54"/>
        <item x="23"/>
        <item x="52"/>
        <item x="9"/>
        <item x="12"/>
        <item x="10"/>
        <item x="11"/>
        <item x="13"/>
        <item x="8"/>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showAll="0"/>
    <pivotField showAll="0"/>
    <pivotField showAll="0"/>
    <pivotField showAll="0"/>
    <pivotField showAll="0">
      <items count="4">
        <item x="1"/>
        <item x="0"/>
        <item x="2"/>
        <item t="default"/>
      </items>
    </pivotField>
    <pivotField showAll="0">
      <items count="5">
        <item x="0"/>
        <item x="2"/>
        <item x="1"/>
        <item x="3"/>
        <item t="default"/>
      </items>
    </pivotField>
  </pivotFields>
  <rowFields count="1">
    <field x="0"/>
  </rowFields>
  <rowItems count="8">
    <i>
      <x v="32"/>
    </i>
    <i>
      <x v="33"/>
    </i>
    <i>
      <x v="11"/>
    </i>
    <i>
      <x v="13"/>
    </i>
    <i>
      <x v="41"/>
    </i>
    <i>
      <x v="39"/>
    </i>
    <i>
      <x v="37"/>
    </i>
    <i>
      <x v="35"/>
    </i>
  </rowItems>
  <colItems count="1">
    <i/>
  </colItems>
  <dataFields count="1">
    <dataField name="Highest Sale Price" fld="3" baseField="0" baseItem="32"/>
  </dataFields>
  <chartFormats count="2">
    <chartFormat chart="7"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A81BFA7-6549-4E46-BA32-6E96B9BE0467}" name="Average of Sale Price" cacheId="32"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7" rowHeaderCaption="Ram">
  <location ref="A3:B7" firstHeaderRow="1" firstDataRow="1" firstDataCol="1"/>
  <pivotFields count="11">
    <pivotField showAll="0"/>
    <pivotField showAll="0"/>
    <pivotField showAll="0"/>
    <pivotField dataField="1" showAll="0"/>
    <pivotField showAll="0"/>
    <pivotField showAll="0"/>
    <pivotField showAll="0"/>
    <pivotField showAll="0"/>
    <pivotField showAll="0"/>
    <pivotField showAll="0">
      <items count="4">
        <item x="1"/>
        <item x="0"/>
        <item x="2"/>
        <item t="default"/>
      </items>
    </pivotField>
    <pivotField axis="axisRow" showAll="0">
      <items count="5">
        <item x="0"/>
        <item x="2"/>
        <item x="1"/>
        <item x="3"/>
        <item t="default"/>
      </items>
    </pivotField>
  </pivotFields>
  <rowFields count="1">
    <field x="10"/>
  </rowFields>
  <rowItems count="4">
    <i>
      <x/>
    </i>
    <i>
      <x v="1"/>
    </i>
    <i>
      <x v="2"/>
    </i>
    <i>
      <x v="3"/>
    </i>
  </rowItems>
  <colItems count="1">
    <i/>
  </colItems>
  <dataFields count="1">
    <dataField name="Average of Sale Price" fld="3" subtotal="average" baseField="10" baseItem="0" numFmtId="1"/>
  </dataFields>
  <formats count="1">
    <format dxfId="53">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6F9C067-DD32-4C17-9FDB-1E738F79487D}" name="PivotTable2" cacheId="4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7" rowHeaderCaption="Model">
  <location ref="A3:B8" firstHeaderRow="1" firstDataRow="1" firstDataCol="1"/>
  <pivotFields count="2">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5">
    <i>
      <x v="1"/>
    </i>
    <i>
      <x/>
    </i>
    <i>
      <x v="3"/>
    </i>
    <i>
      <x v="2"/>
    </i>
    <i>
      <x v="4"/>
    </i>
  </rowItems>
  <colItems count="1">
    <i/>
  </colItems>
  <dataFields count="1">
    <dataField name="Highest Discount Amount" fld="1" baseField="0" baseItem="1"/>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Hierarchies count="1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Highest Discount Amount"/>
    <pivotHierarchy dragToData="1"/>
    <pivotHierarchy dragToData="1"/>
  </pivotHierarchies>
  <pivotTableStyleInfo name="PivotStyleLight16" showRowHeaders="1" showColHeaders="1" showRowStripes="0" showColStripes="0" showLastColumn="1"/>
  <filters count="1">
    <filter fld="0" type="count" id="1" iMeasureHier="14">
      <autoFilter ref="A1">
        <filterColumn colId="0">
          <top10 val="5" filterVal="5"/>
        </filterColumn>
      </autoFilter>
    </filter>
  </filters>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pple dashboard.xlsx!Apple">
        <x15:activeTabTopLevelEntity name="[App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F0137F4-709B-4377-85D3-4AC944373D75}" name="PivotTable3" cacheId="42"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6">
  <location ref="A3:B8" firstHeaderRow="1" firstDataRow="1" firstDataCol="1"/>
  <pivotFields count="2">
    <pivotField dataField="1" subtotalTop="0" showAll="0" defaultSubtotal="0"/>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s>
  <rowFields count="1">
    <field x="1"/>
  </rowFields>
  <rowItems count="5">
    <i>
      <x v="4"/>
    </i>
    <i>
      <x/>
    </i>
    <i>
      <x v="1"/>
    </i>
    <i>
      <x v="2"/>
    </i>
    <i>
      <x v="3"/>
    </i>
  </rowItems>
  <colItems count="1">
    <i/>
  </colItems>
  <dataFields count="1">
    <dataField name="Highest No. of Rating" fld="0" baseField="1" baseItem="4"/>
  </dataFields>
  <chartFormats count="2">
    <chartFormat chart="9"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Hierarchies count="1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Highest No. of Rating"/>
    <pivotHierarchy dragToData="1"/>
  </pivotHierarchies>
  <pivotTableStyleInfo name="PivotStyleLight16" showRowHeaders="1" showColHeaders="1" showRowStripes="0" showColStripes="0" showLastColumn="1"/>
  <filters count="1">
    <filter fld="1" type="count" id="1" iMeasureHier="15">
      <autoFilter ref="A1">
        <filterColumn colId="0">
          <top10 val="5" filterVal="5"/>
        </filterColumn>
      </autoFilter>
    </filter>
  </filters>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pple dashboard.xlsx!Apple">
        <x15:activeTabTopLevelEntity name="[App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4A6D0CA-07C4-4DA9-B910-2ED168F3EC6F}" name="PivotTable4" cacheId="32"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7" rowHeaderCaption="Ram">
  <location ref="A3:B7" firstHeaderRow="1" firstDataRow="1" firstDataCol="1"/>
  <pivotFields count="11">
    <pivotField showAll="0"/>
    <pivotField showAll="0"/>
    <pivotField showAll="0"/>
    <pivotField showAll="0"/>
    <pivotField showAll="0"/>
    <pivotField showAll="0"/>
    <pivotField showAll="0"/>
    <pivotField showAll="0"/>
    <pivotField showAll="0"/>
    <pivotField dataField="1" showAll="0">
      <items count="4">
        <item x="1"/>
        <item x="0"/>
        <item x="2"/>
        <item t="default"/>
      </items>
    </pivotField>
    <pivotField axis="axisRow" showAll="0">
      <items count="5">
        <item x="0"/>
        <item x="2"/>
        <item x="1"/>
        <item x="3"/>
        <item t="default"/>
      </items>
    </pivotField>
  </pivotFields>
  <rowFields count="1">
    <field x="10"/>
  </rowFields>
  <rowItems count="4">
    <i>
      <x/>
    </i>
    <i>
      <x v="1"/>
    </i>
    <i>
      <x v="2"/>
    </i>
    <i>
      <x v="3"/>
    </i>
  </rowItems>
  <colItems count="1">
    <i/>
  </colItems>
  <dataFields count="1">
    <dataField name="Average of Star Rating" fld="9" subtotal="average" baseField="10" baseItem="0" numFmtId="164"/>
  </dataFields>
  <formats count="1">
    <format dxfId="52">
      <pivotArea outline="0" collapsedLevelsAreSubtotals="1" fieldPosition="0"/>
    </format>
  </format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0" count="1" selected="0">
            <x v="0"/>
          </reference>
        </references>
      </pivotArea>
    </chartFormat>
    <chartFormat chart="0" format="2">
      <pivotArea type="data" outline="0" fieldPosition="0">
        <references count="2">
          <reference field="4294967294" count="1" selected="0">
            <x v="0"/>
          </reference>
          <reference field="10" count="1" selected="0">
            <x v="1"/>
          </reference>
        </references>
      </pivotArea>
    </chartFormat>
    <chartFormat chart="0" format="3">
      <pivotArea type="data" outline="0" fieldPosition="0">
        <references count="2">
          <reference field="4294967294" count="1" selected="0">
            <x v="0"/>
          </reference>
          <reference field="10" count="1" selected="0">
            <x v="2"/>
          </reference>
        </references>
      </pivotArea>
    </chartFormat>
    <chartFormat chart="0" format="4">
      <pivotArea type="data" outline="0" fieldPosition="0">
        <references count="2">
          <reference field="4294967294" count="1" selected="0">
            <x v="0"/>
          </reference>
          <reference field="10" count="1" selected="0">
            <x v="3"/>
          </reference>
        </references>
      </pivotArea>
    </chartFormat>
    <chartFormat chart="6" format="10" series="1">
      <pivotArea type="data" outline="0" fieldPosition="0">
        <references count="1">
          <reference field="4294967294" count="1" selected="0">
            <x v="0"/>
          </reference>
        </references>
      </pivotArea>
    </chartFormat>
    <chartFormat chart="6" format="11">
      <pivotArea type="data" outline="0" fieldPosition="0">
        <references count="2">
          <reference field="4294967294" count="1" selected="0">
            <x v="0"/>
          </reference>
          <reference field="10" count="1" selected="0">
            <x v="0"/>
          </reference>
        </references>
      </pivotArea>
    </chartFormat>
    <chartFormat chart="6" format="12">
      <pivotArea type="data" outline="0" fieldPosition="0">
        <references count="2">
          <reference field="4294967294" count="1" selected="0">
            <x v="0"/>
          </reference>
          <reference field="10" count="1" selected="0">
            <x v="1"/>
          </reference>
        </references>
      </pivotArea>
    </chartFormat>
    <chartFormat chart="6" format="13">
      <pivotArea type="data" outline="0" fieldPosition="0">
        <references count="2">
          <reference field="4294967294" count="1" selected="0">
            <x v="0"/>
          </reference>
          <reference field="10" count="1" selected="0">
            <x v="2"/>
          </reference>
        </references>
      </pivotArea>
    </chartFormat>
    <chartFormat chart="6" format="14">
      <pivotArea type="data" outline="0" fieldPosition="0">
        <references count="2">
          <reference field="4294967294" count="1" selected="0">
            <x v="0"/>
          </reference>
          <reference field="1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CCAC639-256A-4C7B-9F91-21D5F0A3CBCD}" name="Avilable Product" cacheId="32"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9" rowHeaderCaption="Ram">
  <location ref="A3:B7" firstHeaderRow="1" firstDataRow="1" firstDataCol="1"/>
  <pivotFields count="11">
    <pivotField dataField="1" showAll="0"/>
    <pivotField showAll="0"/>
    <pivotField showAll="0"/>
    <pivotField showAll="0"/>
    <pivotField showAll="0"/>
    <pivotField showAll="0"/>
    <pivotField showAll="0"/>
    <pivotField showAll="0"/>
    <pivotField showAll="0"/>
    <pivotField showAll="0">
      <items count="4">
        <item x="1"/>
        <item x="0"/>
        <item x="2"/>
        <item t="default"/>
      </items>
    </pivotField>
    <pivotField axis="axisRow" showAll="0">
      <items count="5">
        <item x="0"/>
        <item x="2"/>
        <item x="1"/>
        <item x="3"/>
        <item t="default"/>
      </items>
    </pivotField>
  </pivotFields>
  <rowFields count="1">
    <field x="10"/>
  </rowFields>
  <rowItems count="4">
    <i>
      <x/>
    </i>
    <i>
      <x v="1"/>
    </i>
    <i>
      <x v="2"/>
    </i>
    <i>
      <x v="3"/>
    </i>
  </rowItems>
  <colItems count="1">
    <i/>
  </colItems>
  <dataFields count="1">
    <dataField name="Avilable Product" fld="0" subtotal="count" baseField="10" baseItem="0"/>
  </dataFields>
  <chartFormats count="2">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775B622-2893-4F2A-8CD1-1F8D795AA7BC}" name="Avg. discount" cacheId="32"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5">
  <location ref="A3:B7" firstHeaderRow="1" firstDataRow="1" firstDataCol="1"/>
  <pivotFields count="11">
    <pivotField showAll="0"/>
    <pivotField showAll="0"/>
    <pivotField showAll="0"/>
    <pivotField showAll="0"/>
    <pivotField showAll="0"/>
    <pivotField dataField="1" showAll="0"/>
    <pivotField showAll="0"/>
    <pivotField showAll="0"/>
    <pivotField showAll="0"/>
    <pivotField showAll="0">
      <items count="4">
        <item x="1"/>
        <item x="0"/>
        <item x="2"/>
        <item t="default"/>
      </items>
    </pivotField>
    <pivotField axis="axisRow" showAll="0">
      <items count="5">
        <item x="0"/>
        <item x="2"/>
        <item x="1"/>
        <item x="3"/>
        <item t="default"/>
      </items>
    </pivotField>
  </pivotFields>
  <rowFields count="1">
    <field x="10"/>
  </rowFields>
  <rowItems count="4">
    <i>
      <x/>
    </i>
    <i>
      <x v="1"/>
    </i>
    <i>
      <x v="2"/>
    </i>
    <i>
      <x v="3"/>
    </i>
  </rowItems>
  <colItems count="1">
    <i/>
  </colItems>
  <dataFields count="1">
    <dataField name="Average of Discount Percentage" fld="5" subtotal="average" baseField="10" baseItem="0"/>
  </dataFields>
  <formats count="1">
    <format dxfId="51">
      <pivotArea collapsedLevelsAreSubtotals="1" fieldPosition="0">
        <references count="1">
          <reference field="10" count="0"/>
        </references>
      </pivotArea>
    </format>
  </format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0" count="1" selected="0">
            <x v="0"/>
          </reference>
        </references>
      </pivotArea>
    </chartFormat>
    <chartFormat chart="0" format="2">
      <pivotArea type="data" outline="0" fieldPosition="0">
        <references count="2">
          <reference field="4294967294" count="1" selected="0">
            <x v="0"/>
          </reference>
          <reference field="10" count="1" selected="0">
            <x v="1"/>
          </reference>
        </references>
      </pivotArea>
    </chartFormat>
    <chartFormat chart="0" format="3">
      <pivotArea type="data" outline="0" fieldPosition="0">
        <references count="2">
          <reference field="4294967294" count="1" selected="0">
            <x v="0"/>
          </reference>
          <reference field="10" count="1" selected="0">
            <x v="2"/>
          </reference>
        </references>
      </pivotArea>
    </chartFormat>
    <chartFormat chart="0" format="4">
      <pivotArea type="data" outline="0" fieldPosition="0">
        <references count="2">
          <reference field="4294967294" count="1" selected="0">
            <x v="0"/>
          </reference>
          <reference field="10" count="1" selected="0">
            <x v="3"/>
          </reference>
        </references>
      </pivotArea>
    </chartFormat>
    <chartFormat chart="4" format="10" series="1">
      <pivotArea type="data" outline="0" fieldPosition="0">
        <references count="1">
          <reference field="4294967294" count="1" selected="0">
            <x v="0"/>
          </reference>
        </references>
      </pivotArea>
    </chartFormat>
    <chartFormat chart="4" format="11">
      <pivotArea type="data" outline="0" fieldPosition="0">
        <references count="2">
          <reference field="4294967294" count="1" selected="0">
            <x v="0"/>
          </reference>
          <reference field="10" count="1" selected="0">
            <x v="0"/>
          </reference>
        </references>
      </pivotArea>
    </chartFormat>
    <chartFormat chart="4" format="12">
      <pivotArea type="data" outline="0" fieldPosition="0">
        <references count="2">
          <reference field="4294967294" count="1" selected="0">
            <x v="0"/>
          </reference>
          <reference field="10" count="1" selected="0">
            <x v="1"/>
          </reference>
        </references>
      </pivotArea>
    </chartFormat>
    <chartFormat chart="4" format="13">
      <pivotArea type="data" outline="0" fieldPosition="0">
        <references count="2">
          <reference field="4294967294" count="1" selected="0">
            <x v="0"/>
          </reference>
          <reference field="10" count="1" selected="0">
            <x v="2"/>
          </reference>
        </references>
      </pivotArea>
    </chartFormat>
    <chartFormat chart="4" format="14">
      <pivotArea type="data" outline="0" fieldPosition="0">
        <references count="2">
          <reference field="4294967294" count="1" selected="0">
            <x v="0"/>
          </reference>
          <reference field="1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44C17CC-DAFA-4240-A09A-80D2584F920F}" name="PivotTable7" cacheId="32"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9" rowHeaderCaption="Star rating">
  <location ref="A3:B6" firstHeaderRow="1" firstDataRow="1" firstDataCol="1" rowPageCount="1" colPageCount="1"/>
  <pivotFields count="11">
    <pivotField axis="axisPage" showAll="0">
      <items count="63">
        <item x="56"/>
        <item x="60"/>
        <item x="58"/>
        <item x="51"/>
        <item x="61"/>
        <item x="50"/>
        <item x="59"/>
        <item x="21"/>
        <item x="18"/>
        <item x="22"/>
        <item x="19"/>
        <item x="14"/>
        <item x="15"/>
        <item x="16"/>
        <item x="20"/>
        <item x="17"/>
        <item x="35"/>
        <item x="43"/>
        <item x="36"/>
        <item x="40"/>
        <item x="44"/>
        <item x="29"/>
        <item x="42"/>
        <item x="33"/>
        <item x="45"/>
        <item x="34"/>
        <item x="38"/>
        <item x="26"/>
        <item x="28"/>
        <item x="30"/>
        <item x="27"/>
        <item x="46"/>
        <item x="41"/>
        <item x="24"/>
        <item x="39"/>
        <item x="49"/>
        <item x="32"/>
        <item x="31"/>
        <item x="47"/>
        <item x="25"/>
        <item x="37"/>
        <item x="48"/>
        <item x="4"/>
        <item x="3"/>
        <item x="7"/>
        <item x="0"/>
        <item x="2"/>
        <item x="5"/>
        <item x="1"/>
        <item x="6"/>
        <item x="53"/>
        <item x="57"/>
        <item x="55"/>
        <item x="54"/>
        <item x="23"/>
        <item x="52"/>
        <item x="9"/>
        <item x="12"/>
        <item x="10"/>
        <item x="11"/>
        <item x="13"/>
        <item x="8"/>
        <item t="default"/>
      </items>
    </pivotField>
    <pivotField showAll="0"/>
    <pivotField showAll="0"/>
    <pivotField dataField="1" showAll="0"/>
    <pivotField showAll="0"/>
    <pivotField showAll="0"/>
    <pivotField showAll="0" sortType="descending">
      <items count="20">
        <item x="8"/>
        <item x="17"/>
        <item x="4"/>
        <item x="3"/>
        <item x="16"/>
        <item x="18"/>
        <item x="1"/>
        <item x="6"/>
        <item x="7"/>
        <item x="0"/>
        <item x="13"/>
        <item x="15"/>
        <item x="2"/>
        <item x="5"/>
        <item x="11"/>
        <item x="14"/>
        <item x="10"/>
        <item x="12"/>
        <item x="9"/>
        <item t="default"/>
      </items>
    </pivotField>
    <pivotField showAll="0"/>
    <pivotField showAll="0"/>
    <pivotField axis="axisRow" showAll="0" sortType="descending">
      <items count="4">
        <item x="1"/>
        <item x="0"/>
        <item x="2"/>
        <item t="default"/>
      </items>
      <autoSortScope>
        <pivotArea dataOnly="0" outline="0" fieldPosition="0">
          <references count="1">
            <reference field="4294967294" count="1" selected="0">
              <x v="0"/>
            </reference>
          </references>
        </pivotArea>
      </autoSortScope>
    </pivotField>
    <pivotField showAll="0">
      <items count="5">
        <item x="0"/>
        <item x="2"/>
        <item x="1"/>
        <item x="3"/>
        <item t="default"/>
      </items>
    </pivotField>
  </pivotFields>
  <rowFields count="1">
    <field x="9"/>
  </rowFields>
  <rowItems count="3">
    <i>
      <x v="2"/>
    </i>
    <i>
      <x v="1"/>
    </i>
    <i>
      <x/>
    </i>
  </rowItems>
  <colItems count="1">
    <i/>
  </colItems>
  <pageFields count="1">
    <pageField fld="0" hier="-1"/>
  </pageFields>
  <dataFields count="1">
    <dataField name="Average of Sale Price" fld="3" subtotal="average" baseField="9" baseItem="0" numFmtId="1"/>
  </dataFields>
  <formats count="1">
    <format dxfId="50">
      <pivotArea outline="0" collapsedLevelsAreSubtotals="1" fieldPosition="0"/>
    </format>
  </format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9" count="1" selected="0">
            <x v="2"/>
          </reference>
        </references>
      </pivotArea>
    </chartFormat>
    <chartFormat chart="0" format="2">
      <pivotArea type="data" outline="0" fieldPosition="0">
        <references count="2">
          <reference field="4294967294" count="1" selected="0">
            <x v="0"/>
          </reference>
          <reference field="9" count="1" selected="0">
            <x v="1"/>
          </reference>
        </references>
      </pivotArea>
    </chartFormat>
    <chartFormat chart="0" format="3">
      <pivotArea type="data" outline="0" fieldPosition="0">
        <references count="2">
          <reference field="4294967294" count="1" selected="0">
            <x v="0"/>
          </reference>
          <reference field="9" count="1" selected="0">
            <x v="0"/>
          </reference>
        </references>
      </pivotArea>
    </chartFormat>
    <chartFormat chart="8" format="8" series="1">
      <pivotArea type="data" outline="0" fieldPosition="0">
        <references count="1">
          <reference field="4294967294" count="1" selected="0">
            <x v="0"/>
          </reference>
        </references>
      </pivotArea>
    </chartFormat>
    <chartFormat chart="8" format="9">
      <pivotArea type="data" outline="0" fieldPosition="0">
        <references count="2">
          <reference field="4294967294" count="1" selected="0">
            <x v="0"/>
          </reference>
          <reference field="9" count="1" selected="0">
            <x v="2"/>
          </reference>
        </references>
      </pivotArea>
    </chartFormat>
    <chartFormat chart="8" format="10">
      <pivotArea type="data" outline="0" fieldPosition="0">
        <references count="2">
          <reference field="4294967294" count="1" selected="0">
            <x v="0"/>
          </reference>
          <reference field="9" count="1" selected="0">
            <x v="1"/>
          </reference>
        </references>
      </pivotArea>
    </chartFormat>
    <chartFormat chart="8" format="11">
      <pivotArea type="data" outline="0" fieldPosition="0">
        <references count="2">
          <reference field="4294967294" count="1" selected="0">
            <x v="0"/>
          </reference>
          <reference field="9"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m" xr10:uid="{1FB6A2C9-E60B-4BEC-8387-5E15F7095044}" sourceName="Ram">
  <pivotTables>
    <pivotTable tabId="2" name="High sale"/>
    <pivotTable tabId="18" name="PivotTable7"/>
    <pivotTable tabId="16" name="Avg. discount"/>
    <pivotTable tabId="3" name="Average of Sale Price"/>
    <pivotTable tabId="13" name="PivotTable4"/>
    <pivotTable tabId="15" name="Avilable Product"/>
  </pivotTables>
  <data>
    <tabular pivotCacheId="868447209">
      <items count="4">
        <i x="0" s="1"/>
        <i x="2"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r_Rating" xr10:uid="{179E3B03-96CC-4D26-B2BF-C11EEF2A8F24}" sourceName="Star Rating">
  <pivotTables>
    <pivotTable tabId="2" name="High sale"/>
    <pivotTable tabId="18" name="PivotTable7"/>
    <pivotTable tabId="16" name="Avg. discount"/>
    <pivotTable tabId="3" name="Average of Sale Price"/>
    <pivotTable tabId="13" name="PivotTable4"/>
    <pivotTable tabId="15" name="Avilable Product"/>
  </pivotTables>
  <data>
    <tabular pivotCacheId="868447209">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am" xr10:uid="{720DF810-DE38-4265-B210-7E2A0F013323}" cache="Slicer_Ram" caption="Ram" rowHeight="234950"/>
  <slicer name="Star Rating" xr10:uid="{6E6705A3-9F1A-4E77-8662-2B4EA8443452}" cache="Slicer_Star_Rating" caption="Star Rating"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6EAD2A0-1C0C-4373-859D-50A9EDFB1D25}" name="Appled" displayName="Appled" ref="A1:M63">
  <autoFilter ref="A1:M63" xr:uid="{06EAD2A0-1C0C-4373-859D-50A9EDFB1D25}"/>
  <tableColumns count="13">
    <tableColumn id="1" xr3:uid="{50C85502-7A62-4076-91F4-948CB5ACEB57}" name="Product Name" totalsRowLabel="Total"/>
    <tableColumn id="2" xr3:uid="{EC233887-8469-42D4-A673-8B22C240172F}" name="Product URL"/>
    <tableColumn id="3" xr3:uid="{6EDF9719-6EAB-439D-AE64-00187BEB1B47}" name="Brand"/>
    <tableColumn id="4" xr3:uid="{CC0EA131-35FA-4A29-9EEA-6B28124BFC47}" name="Sale Price"/>
    <tableColumn id="5" xr3:uid="{E3F2DA1A-8ABE-4F78-9BF4-2C7246DFD53B}" name="Mrp"/>
    <tableColumn id="12" xr3:uid="{3A43FBC4-9DF6-4289-B8D7-CC6DE2878EA3}" name="Discount Amount" dataDxfId="49"/>
    <tableColumn id="6" xr3:uid="{F397E8C8-6BE0-464F-BBF2-D4293A7535B4}" name="Discount Percentage"/>
    <tableColumn id="7" xr3:uid="{8D40957F-B7A4-49A3-B9FA-4A4B9992BE15}" name="Number Of Ratings"/>
    <tableColumn id="8" xr3:uid="{C4652ED7-C3AE-4411-A1DA-BEC590523FC5}" name="Number Of Reviews"/>
    <tableColumn id="9" xr3:uid="{2F4F3BB7-F2DF-427C-B4B2-03E664EBDB95}" name="Upc"/>
    <tableColumn id="10" xr3:uid="{C8441741-98D7-4EFB-99DE-D1B24146185C}" name="Star Rating"/>
    <tableColumn id="11" xr3:uid="{92C67DCF-0247-452D-B704-4115F1A45393}" name="Ram" totalsRowFunction="count"/>
    <tableColumn id="13" xr3:uid="{5244CF3C-3C12-4016-B542-D34979EC01FF}" name="Value Ratio" dataDxfId="48"/>
  </tableColumns>
  <tableStyleInfo name="TableStyleLight8" showFirstColumn="1"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6C567570-DA4F-4394-8CE0-B1D16BED61F5}">
  <we:reference id="wa200005271" version="2.5.5.0" store="en-US" storeType="OMEX"/>
  <we:alternateReferences>
    <we:reference id="WA200005271" version="2.5.5.0" store=""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_xldudf_AI_TABLE</we:customFunctionIds>
        <we:customFunctionIds>_xldudf_AI_FILL</we:customFunctionIds>
        <we:customFunctionIds>_xldudf_AI_LIST</we:customFunctionIds>
        <we:customFunctionIds>_xldudf_AI_ASK</we:customFunctionIds>
        <we:customFunctionIds>_xldudf_AI_FORMAT</we:customFunctionIds>
        <we:customFunctionIds>_xldudf_AI_EXTRACT</we:customFunctionIds>
        <we:customFunctionIds>_xldudf_AI_TRANSLATE</we:customFunctionIds>
        <we:customFunctionIds>_xldudf_AI_CHOICE</we:customFunctionIds>
      </we:customFunctionIdList>
    </a:ext>
  </we:extLst>
</we:webextension>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0.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9.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66632A-A9E9-4EB5-9CB4-24E13AC0D236}">
  <sheetPr codeName="Sheet1"/>
  <dimension ref="A3:B11"/>
  <sheetViews>
    <sheetView topLeftCell="A10" workbookViewId="0">
      <selection activeCell="N21" sqref="N21"/>
    </sheetView>
  </sheetViews>
  <sheetFormatPr defaultRowHeight="14.4" x14ac:dyDescent="0.3"/>
  <cols>
    <col min="1" max="1" width="43.21875" bestFit="1" customWidth="1"/>
    <col min="2" max="2" width="15.77734375" bestFit="1" customWidth="1"/>
  </cols>
  <sheetData>
    <row r="3" spans="1:2" x14ac:dyDescent="0.3">
      <c r="A3" s="1" t="s">
        <v>202</v>
      </c>
      <c r="B3" t="s">
        <v>203</v>
      </c>
    </row>
    <row r="4" spans="1:2" x14ac:dyDescent="0.3">
      <c r="A4" s="2" t="s">
        <v>139</v>
      </c>
      <c r="B4" s="5">
        <v>140900</v>
      </c>
    </row>
    <row r="5" spans="1:2" x14ac:dyDescent="0.3">
      <c r="A5" s="2" t="s">
        <v>87</v>
      </c>
      <c r="B5" s="5">
        <v>140900</v>
      </c>
    </row>
    <row r="6" spans="1:2" x14ac:dyDescent="0.3">
      <c r="A6" s="2" t="s">
        <v>57</v>
      </c>
      <c r="B6" s="5">
        <v>131900</v>
      </c>
    </row>
    <row r="7" spans="1:2" x14ac:dyDescent="0.3">
      <c r="A7" s="2" t="s">
        <v>63</v>
      </c>
      <c r="B7" s="5">
        <v>131900</v>
      </c>
    </row>
    <row r="8" spans="1:2" x14ac:dyDescent="0.3">
      <c r="A8" s="2" t="s">
        <v>160</v>
      </c>
      <c r="B8" s="5">
        <v>130900</v>
      </c>
    </row>
    <row r="9" spans="1:2" x14ac:dyDescent="0.3">
      <c r="A9" s="2" t="s">
        <v>90</v>
      </c>
      <c r="B9" s="5">
        <v>130900</v>
      </c>
    </row>
    <row r="10" spans="1:2" x14ac:dyDescent="0.3">
      <c r="A10" s="2" t="s">
        <v>109</v>
      </c>
      <c r="B10" s="5">
        <v>130900</v>
      </c>
    </row>
    <row r="11" spans="1:2" x14ac:dyDescent="0.3">
      <c r="A11" s="2" t="s">
        <v>163</v>
      </c>
      <c r="B11" s="5">
        <v>130900</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687F48-925A-4D12-8EE0-EE94DAA2DAE6}">
  <sheetPr codeName="Sheet2"/>
  <dimension ref="A3:B7"/>
  <sheetViews>
    <sheetView workbookViewId="0">
      <selection activeCell="N10" sqref="N10"/>
    </sheetView>
  </sheetViews>
  <sheetFormatPr defaultRowHeight="14.4" x14ac:dyDescent="0.3"/>
  <cols>
    <col min="1" max="1" width="7" bestFit="1" customWidth="1"/>
    <col min="2" max="2" width="18.77734375" bestFit="1" customWidth="1"/>
  </cols>
  <sheetData>
    <row r="3" spans="1:2" x14ac:dyDescent="0.3">
      <c r="A3" s="1" t="s">
        <v>10</v>
      </c>
      <c r="B3" t="s">
        <v>204</v>
      </c>
    </row>
    <row r="4" spans="1:2" x14ac:dyDescent="0.3">
      <c r="A4" s="2" t="s">
        <v>15</v>
      </c>
      <c r="B4" s="3">
        <v>56191.923076923078</v>
      </c>
    </row>
    <row r="5" spans="1:2" x14ac:dyDescent="0.3">
      <c r="A5" s="2" t="s">
        <v>53</v>
      </c>
      <c r="B5" s="3">
        <v>41999</v>
      </c>
    </row>
    <row r="6" spans="1:2" x14ac:dyDescent="0.3">
      <c r="A6" s="2" t="s">
        <v>40</v>
      </c>
      <c r="B6" s="3">
        <v>77965.068965517246</v>
      </c>
    </row>
    <row r="7" spans="1:2" x14ac:dyDescent="0.3">
      <c r="A7" s="2" t="s">
        <v>93</v>
      </c>
      <c r="B7" s="3">
        <v>101636.84210526316</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41A202-5DA8-4877-B36D-4699C66DF730}">
  <dimension ref="A3:F24"/>
  <sheetViews>
    <sheetView workbookViewId="0">
      <selection activeCell="D7" sqref="D7"/>
    </sheetView>
  </sheetViews>
  <sheetFormatPr defaultRowHeight="14.4" x14ac:dyDescent="0.3"/>
  <cols>
    <col min="1" max="1" width="64.5546875" bestFit="1" customWidth="1"/>
    <col min="2" max="2" width="22.6640625" bestFit="1" customWidth="1"/>
  </cols>
  <sheetData>
    <row r="3" spans="1:2" x14ac:dyDescent="0.3">
      <c r="A3" s="1" t="s">
        <v>202</v>
      </c>
      <c r="B3" t="s">
        <v>208</v>
      </c>
    </row>
    <row r="4" spans="1:2" x14ac:dyDescent="0.3">
      <c r="A4" s="2" t="s">
        <v>69</v>
      </c>
      <c r="B4">
        <v>31601</v>
      </c>
    </row>
    <row r="5" spans="1:2" x14ac:dyDescent="0.3">
      <c r="A5" s="2" t="s">
        <v>78</v>
      </c>
      <c r="B5">
        <v>22400</v>
      </c>
    </row>
    <row r="6" spans="1:2" x14ac:dyDescent="0.3">
      <c r="A6" s="2" t="s">
        <v>72</v>
      </c>
      <c r="B6">
        <v>22400</v>
      </c>
    </row>
    <row r="7" spans="1:2" x14ac:dyDescent="0.3">
      <c r="A7" s="2" t="s">
        <v>81</v>
      </c>
      <c r="B7">
        <v>21400</v>
      </c>
    </row>
    <row r="8" spans="1:2" x14ac:dyDescent="0.3">
      <c r="A8" s="2" t="s">
        <v>41</v>
      </c>
      <c r="B8">
        <v>10901</v>
      </c>
    </row>
    <row r="24" spans="6:6" x14ac:dyDescent="0.3">
      <c r="F24" t="s">
        <v>207</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D9BE12-0650-45E4-9063-BD051724614E}">
  <dimension ref="A3:B8"/>
  <sheetViews>
    <sheetView workbookViewId="0">
      <selection activeCell="G5" sqref="G5"/>
    </sheetView>
  </sheetViews>
  <sheetFormatPr defaultRowHeight="14.4" x14ac:dyDescent="0.3"/>
  <cols>
    <col min="1" max="1" width="56.44140625" bestFit="1" customWidth="1"/>
    <col min="2" max="2" width="18.88671875" bestFit="1" customWidth="1"/>
  </cols>
  <sheetData>
    <row r="3" spans="1:2" x14ac:dyDescent="0.3">
      <c r="A3" s="1" t="s">
        <v>206</v>
      </c>
      <c r="B3" t="s">
        <v>209</v>
      </c>
    </row>
    <row r="4" spans="1:2" x14ac:dyDescent="0.3">
      <c r="A4" s="2" t="s">
        <v>84</v>
      </c>
      <c r="B4">
        <v>95909</v>
      </c>
    </row>
    <row r="5" spans="1:2" x14ac:dyDescent="0.3">
      <c r="A5" s="2" t="s">
        <v>175</v>
      </c>
      <c r="B5">
        <v>95909</v>
      </c>
    </row>
    <row r="6" spans="1:2" x14ac:dyDescent="0.3">
      <c r="A6" s="2" t="s">
        <v>187</v>
      </c>
      <c r="B6">
        <v>95909</v>
      </c>
    </row>
    <row r="7" spans="1:2" x14ac:dyDescent="0.3">
      <c r="A7" s="2" t="s">
        <v>181</v>
      </c>
      <c r="B7">
        <v>95909</v>
      </c>
    </row>
    <row r="8" spans="1:2" x14ac:dyDescent="0.3">
      <c r="A8" s="2" t="s">
        <v>178</v>
      </c>
      <c r="B8">
        <v>95807</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D6546A-B424-453E-8395-D6482D1FB737}">
  <dimension ref="A3:B7"/>
  <sheetViews>
    <sheetView workbookViewId="0">
      <selection activeCell="O13" sqref="O13"/>
    </sheetView>
  </sheetViews>
  <sheetFormatPr defaultRowHeight="14.4" x14ac:dyDescent="0.3"/>
  <cols>
    <col min="1" max="1" width="7" bestFit="1" customWidth="1"/>
    <col min="2" max="2" width="19.88671875" bestFit="1" customWidth="1"/>
  </cols>
  <sheetData>
    <row r="3" spans="1:2" x14ac:dyDescent="0.3">
      <c r="A3" s="1" t="s">
        <v>10</v>
      </c>
      <c r="B3" t="s">
        <v>210</v>
      </c>
    </row>
    <row r="4" spans="1:2" x14ac:dyDescent="0.3">
      <c r="A4" s="2" t="s">
        <v>15</v>
      </c>
      <c r="B4" s="4">
        <v>4.5384615384615383</v>
      </c>
    </row>
    <row r="5" spans="1:2" x14ac:dyDescent="0.3">
      <c r="A5" s="2" t="s">
        <v>53</v>
      </c>
      <c r="B5" s="4">
        <v>4.5999999999999996</v>
      </c>
    </row>
    <row r="6" spans="1:2" x14ac:dyDescent="0.3">
      <c r="A6" s="2" t="s">
        <v>40</v>
      </c>
      <c r="B6" s="4">
        <v>4.5896551724137922</v>
      </c>
    </row>
    <row r="7" spans="1:2" x14ac:dyDescent="0.3">
      <c r="A7" s="2" t="s">
        <v>93</v>
      </c>
      <c r="B7" s="4">
        <v>4.5789473684210522</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29DA95-F0BB-44D3-ACFB-72E18C7EA36C}">
  <dimension ref="A3:B7"/>
  <sheetViews>
    <sheetView workbookViewId="0">
      <selection activeCell="B14" sqref="B14"/>
    </sheetView>
  </sheetViews>
  <sheetFormatPr defaultRowHeight="14.4" x14ac:dyDescent="0.3"/>
  <cols>
    <col min="1" max="1" width="7" bestFit="1" customWidth="1"/>
    <col min="2" max="2" width="14.88671875" bestFit="1" customWidth="1"/>
  </cols>
  <sheetData>
    <row r="3" spans="1:2" x14ac:dyDescent="0.3">
      <c r="A3" s="1" t="s">
        <v>10</v>
      </c>
      <c r="B3" t="s">
        <v>211</v>
      </c>
    </row>
    <row r="4" spans="1:2" x14ac:dyDescent="0.3">
      <c r="A4" s="2" t="s">
        <v>15</v>
      </c>
      <c r="B4" s="5">
        <v>13</v>
      </c>
    </row>
    <row r="5" spans="1:2" x14ac:dyDescent="0.3">
      <c r="A5" s="2" t="s">
        <v>53</v>
      </c>
      <c r="B5" s="5">
        <v>1</v>
      </c>
    </row>
    <row r="6" spans="1:2" x14ac:dyDescent="0.3">
      <c r="A6" s="2" t="s">
        <v>40</v>
      </c>
      <c r="B6" s="5">
        <v>29</v>
      </c>
    </row>
    <row r="7" spans="1:2" x14ac:dyDescent="0.3">
      <c r="A7" s="2" t="s">
        <v>93</v>
      </c>
      <c r="B7" s="5">
        <v>19</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C6B496-117C-4C15-AC02-9A2821952C04}">
  <dimension ref="A3:B7"/>
  <sheetViews>
    <sheetView workbookViewId="0">
      <selection activeCell="A3" sqref="A3"/>
    </sheetView>
  </sheetViews>
  <sheetFormatPr defaultRowHeight="14.4" x14ac:dyDescent="0.3"/>
  <cols>
    <col min="1" max="1" width="12.5546875" bestFit="1" customWidth="1"/>
    <col min="2" max="2" width="28.21875" bestFit="1" customWidth="1"/>
  </cols>
  <sheetData>
    <row r="3" spans="1:2" x14ac:dyDescent="0.3">
      <c r="A3" s="1" t="s">
        <v>206</v>
      </c>
      <c r="B3" t="s">
        <v>212</v>
      </c>
    </row>
    <row r="4" spans="1:2" x14ac:dyDescent="0.3">
      <c r="A4" s="2" t="s">
        <v>15</v>
      </c>
      <c r="B4" s="3">
        <v>8.3076923076923084</v>
      </c>
    </row>
    <row r="5" spans="1:2" x14ac:dyDescent="0.3">
      <c r="A5" s="2" t="s">
        <v>53</v>
      </c>
      <c r="B5" s="3">
        <v>20</v>
      </c>
    </row>
    <row r="6" spans="1:2" x14ac:dyDescent="0.3">
      <c r="A6" s="2" t="s">
        <v>40</v>
      </c>
      <c r="B6" s="3">
        <v>11.551724137931034</v>
      </c>
    </row>
    <row r="7" spans="1:2" x14ac:dyDescent="0.3">
      <c r="A7" s="2" t="s">
        <v>93</v>
      </c>
      <c r="B7" s="3">
        <v>8.1052631578947363</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1F2284-2770-471F-BA3F-6F557B37F4AE}">
  <dimension ref="A1:B6"/>
  <sheetViews>
    <sheetView workbookViewId="0">
      <selection activeCell="J29" sqref="J29"/>
    </sheetView>
  </sheetViews>
  <sheetFormatPr defaultRowHeight="14.4" x14ac:dyDescent="0.3"/>
  <cols>
    <col min="1" max="1" width="12.6640625" bestFit="1" customWidth="1"/>
    <col min="2" max="2" width="18.77734375" bestFit="1" customWidth="1"/>
  </cols>
  <sheetData>
    <row r="1" spans="1:2" x14ac:dyDescent="0.3">
      <c r="A1" s="1" t="s">
        <v>0</v>
      </c>
      <c r="B1" t="s">
        <v>213</v>
      </c>
    </row>
    <row r="3" spans="1:2" x14ac:dyDescent="0.3">
      <c r="A3" s="1" t="s">
        <v>214</v>
      </c>
      <c r="B3" t="s">
        <v>204</v>
      </c>
    </row>
    <row r="4" spans="1:2" x14ac:dyDescent="0.3">
      <c r="A4" s="2">
        <v>4.7</v>
      </c>
      <c r="B4" s="3">
        <v>123020</v>
      </c>
    </row>
    <row r="5" spans="1:2" x14ac:dyDescent="0.3">
      <c r="A5" s="2">
        <v>4.5999999999999996</v>
      </c>
      <c r="B5" s="3">
        <v>78637.486486486479</v>
      </c>
    </row>
    <row r="6" spans="1:2" x14ac:dyDescent="0.3">
      <c r="A6" s="2">
        <v>4.5</v>
      </c>
      <c r="B6" s="3">
        <v>71994.7</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9CDC0B-B04B-4FF9-AFC6-BF7495823D07}">
  <sheetPr codeName="Sheet6"/>
  <dimension ref="A1:M63"/>
  <sheetViews>
    <sheetView topLeftCell="A2" zoomScale="93" zoomScaleNormal="90" workbookViewId="0">
      <selection activeCell="D17" sqref="A2:M63"/>
    </sheetView>
  </sheetViews>
  <sheetFormatPr defaultRowHeight="14.4" x14ac:dyDescent="0.3"/>
  <cols>
    <col min="1" max="1" width="67.44140625" bestFit="1" customWidth="1"/>
    <col min="2" max="2" width="13" customWidth="1"/>
    <col min="4" max="4" width="10.6640625" customWidth="1"/>
    <col min="6" max="6" width="19.5546875" customWidth="1"/>
    <col min="7" max="7" width="18.21875" customWidth="1"/>
    <col min="8" max="8" width="19" customWidth="1"/>
    <col min="10" max="10" width="11.6640625" customWidth="1"/>
  </cols>
  <sheetData>
    <row r="1" spans="1:13" x14ac:dyDescent="0.3">
      <c r="A1" t="s">
        <v>0</v>
      </c>
      <c r="B1" t="s">
        <v>1</v>
      </c>
      <c r="C1" t="s">
        <v>2</v>
      </c>
      <c r="D1" t="s">
        <v>3</v>
      </c>
      <c r="E1" t="s">
        <v>4</v>
      </c>
      <c r="F1" t="s">
        <v>205</v>
      </c>
      <c r="G1" t="s">
        <v>5</v>
      </c>
      <c r="H1" t="s">
        <v>6</v>
      </c>
      <c r="I1" t="s">
        <v>7</v>
      </c>
      <c r="J1" t="s">
        <v>8</v>
      </c>
      <c r="K1" t="s">
        <v>9</v>
      </c>
      <c r="L1" t="s">
        <v>10</v>
      </c>
      <c r="M1" t="s">
        <v>215</v>
      </c>
    </row>
    <row r="2" spans="1:13" x14ac:dyDescent="0.3">
      <c r="A2" t="s">
        <v>11</v>
      </c>
      <c r="B2" t="s">
        <v>12</v>
      </c>
      <c r="C2" t="s">
        <v>13</v>
      </c>
      <c r="D2">
        <v>49900</v>
      </c>
      <c r="E2">
        <v>49900</v>
      </c>
      <c r="F2">
        <v>0</v>
      </c>
      <c r="G2">
        <v>0</v>
      </c>
      <c r="H2">
        <v>3431</v>
      </c>
      <c r="I2">
        <v>356</v>
      </c>
      <c r="J2" t="s">
        <v>14</v>
      </c>
      <c r="K2">
        <v>4.5999999999999996</v>
      </c>
      <c r="L2" t="s">
        <v>15</v>
      </c>
      <c r="M2" s="3">
        <v>10847.826086956522</v>
      </c>
    </row>
    <row r="3" spans="1:13" x14ac:dyDescent="0.3">
      <c r="A3" t="s">
        <v>16</v>
      </c>
      <c r="B3" t="s">
        <v>17</v>
      </c>
      <c r="C3" t="s">
        <v>13</v>
      </c>
      <c r="D3">
        <v>84900</v>
      </c>
      <c r="E3">
        <v>84900</v>
      </c>
      <c r="F3">
        <v>0</v>
      </c>
      <c r="G3">
        <v>0</v>
      </c>
      <c r="H3">
        <v>3431</v>
      </c>
      <c r="I3">
        <v>356</v>
      </c>
      <c r="J3" t="s">
        <v>18</v>
      </c>
      <c r="K3">
        <v>4.5999999999999996</v>
      </c>
      <c r="L3" t="s">
        <v>15</v>
      </c>
      <c r="M3" s="3">
        <v>18456.521739130436</v>
      </c>
    </row>
    <row r="4" spans="1:13" x14ac:dyDescent="0.3">
      <c r="A4" t="s">
        <v>19</v>
      </c>
      <c r="B4" t="s">
        <v>20</v>
      </c>
      <c r="C4" t="s">
        <v>13</v>
      </c>
      <c r="D4">
        <v>84900</v>
      </c>
      <c r="E4">
        <v>84900</v>
      </c>
      <c r="F4">
        <v>0</v>
      </c>
      <c r="G4">
        <v>0</v>
      </c>
      <c r="H4">
        <v>3431</v>
      </c>
      <c r="I4">
        <v>356</v>
      </c>
      <c r="J4" t="s">
        <v>21</v>
      </c>
      <c r="K4">
        <v>4.5999999999999996</v>
      </c>
      <c r="L4" t="s">
        <v>15</v>
      </c>
      <c r="M4" s="3">
        <v>18456.521739130436</v>
      </c>
    </row>
    <row r="5" spans="1:13" x14ac:dyDescent="0.3">
      <c r="A5" t="s">
        <v>22</v>
      </c>
      <c r="B5" t="s">
        <v>23</v>
      </c>
      <c r="C5" t="s">
        <v>13</v>
      </c>
      <c r="D5">
        <v>77000</v>
      </c>
      <c r="E5">
        <v>77000</v>
      </c>
      <c r="F5">
        <v>0</v>
      </c>
      <c r="G5">
        <v>0</v>
      </c>
      <c r="H5">
        <v>11202</v>
      </c>
      <c r="I5">
        <v>794</v>
      </c>
      <c r="J5" t="s">
        <v>24</v>
      </c>
      <c r="K5">
        <v>4.5</v>
      </c>
      <c r="L5" t="s">
        <v>15</v>
      </c>
      <c r="M5" s="3">
        <v>17111.111111111109</v>
      </c>
    </row>
    <row r="6" spans="1:13" x14ac:dyDescent="0.3">
      <c r="A6" t="s">
        <v>25</v>
      </c>
      <c r="B6" t="s">
        <v>26</v>
      </c>
      <c r="C6" t="s">
        <v>13</v>
      </c>
      <c r="D6">
        <v>77000</v>
      </c>
      <c r="E6">
        <v>77000</v>
      </c>
      <c r="F6">
        <v>0</v>
      </c>
      <c r="G6">
        <v>0</v>
      </c>
      <c r="H6">
        <v>11202</v>
      </c>
      <c r="I6">
        <v>794</v>
      </c>
      <c r="J6" t="s">
        <v>27</v>
      </c>
      <c r="K6">
        <v>4.5</v>
      </c>
      <c r="L6" t="s">
        <v>15</v>
      </c>
      <c r="M6" s="3">
        <v>17111.111111111109</v>
      </c>
    </row>
    <row r="7" spans="1:13" x14ac:dyDescent="0.3">
      <c r="A7" t="s">
        <v>28</v>
      </c>
      <c r="B7" t="s">
        <v>29</v>
      </c>
      <c r="C7" t="s">
        <v>13</v>
      </c>
      <c r="D7">
        <v>49900</v>
      </c>
      <c r="E7">
        <v>49900</v>
      </c>
      <c r="F7">
        <v>0</v>
      </c>
      <c r="G7">
        <v>0</v>
      </c>
      <c r="H7">
        <v>3431</v>
      </c>
      <c r="I7">
        <v>356</v>
      </c>
      <c r="J7" t="s">
        <v>30</v>
      </c>
      <c r="K7">
        <v>4.5999999999999996</v>
      </c>
      <c r="L7" t="s">
        <v>15</v>
      </c>
      <c r="M7" s="3">
        <v>10847.826086956522</v>
      </c>
    </row>
    <row r="8" spans="1:13" x14ac:dyDescent="0.3">
      <c r="A8" t="s">
        <v>31</v>
      </c>
      <c r="B8" t="s">
        <v>32</v>
      </c>
      <c r="C8" t="s">
        <v>13</v>
      </c>
      <c r="D8">
        <v>49900</v>
      </c>
      <c r="E8">
        <v>49900</v>
      </c>
      <c r="F8">
        <v>0</v>
      </c>
      <c r="G8">
        <v>0</v>
      </c>
      <c r="H8">
        <v>3431</v>
      </c>
      <c r="I8">
        <v>356</v>
      </c>
      <c r="J8" t="s">
        <v>33</v>
      </c>
      <c r="K8">
        <v>4.5999999999999996</v>
      </c>
      <c r="L8" t="s">
        <v>15</v>
      </c>
      <c r="M8" s="3">
        <v>10847.826086956522</v>
      </c>
    </row>
    <row r="9" spans="1:13" x14ac:dyDescent="0.3">
      <c r="A9" t="s">
        <v>34</v>
      </c>
      <c r="B9" t="s">
        <v>35</v>
      </c>
      <c r="C9" t="s">
        <v>13</v>
      </c>
      <c r="D9">
        <v>77000</v>
      </c>
      <c r="E9">
        <v>77000</v>
      </c>
      <c r="F9">
        <v>0</v>
      </c>
      <c r="G9">
        <v>0</v>
      </c>
      <c r="H9">
        <v>11202</v>
      </c>
      <c r="I9">
        <v>794</v>
      </c>
      <c r="J9" t="s">
        <v>36</v>
      </c>
      <c r="K9">
        <v>4.5</v>
      </c>
      <c r="L9" t="s">
        <v>15</v>
      </c>
      <c r="M9" s="3">
        <v>17111.111111111109</v>
      </c>
    </row>
    <row r="10" spans="1:13" x14ac:dyDescent="0.3">
      <c r="A10" t="s">
        <v>37</v>
      </c>
      <c r="B10" t="s">
        <v>38</v>
      </c>
      <c r="C10" t="s">
        <v>13</v>
      </c>
      <c r="D10">
        <v>89900</v>
      </c>
      <c r="E10">
        <v>89900</v>
      </c>
      <c r="F10">
        <v>0</v>
      </c>
      <c r="G10">
        <v>0</v>
      </c>
      <c r="H10">
        <v>1454</v>
      </c>
      <c r="I10">
        <v>149</v>
      </c>
      <c r="J10" t="s">
        <v>39</v>
      </c>
      <c r="K10">
        <v>4.5999999999999996</v>
      </c>
      <c r="L10" t="s">
        <v>40</v>
      </c>
      <c r="M10" s="3">
        <v>19543.478260869568</v>
      </c>
    </row>
    <row r="11" spans="1:13" x14ac:dyDescent="0.3">
      <c r="A11" t="s">
        <v>41</v>
      </c>
      <c r="B11" t="s">
        <v>42</v>
      </c>
      <c r="C11" t="s">
        <v>13</v>
      </c>
      <c r="D11">
        <v>41999</v>
      </c>
      <c r="E11">
        <v>52900</v>
      </c>
      <c r="F11">
        <v>10901</v>
      </c>
      <c r="G11">
        <v>20</v>
      </c>
      <c r="H11">
        <v>79512</v>
      </c>
      <c r="I11">
        <v>6796</v>
      </c>
      <c r="J11" t="s">
        <v>43</v>
      </c>
      <c r="K11">
        <v>4.5999999999999996</v>
      </c>
      <c r="L11" t="s">
        <v>40</v>
      </c>
      <c r="M11" s="3">
        <v>11500</v>
      </c>
    </row>
    <row r="12" spans="1:13" x14ac:dyDescent="0.3">
      <c r="A12" t="s">
        <v>44</v>
      </c>
      <c r="B12" t="s">
        <v>45</v>
      </c>
      <c r="C12" t="s">
        <v>13</v>
      </c>
      <c r="D12">
        <v>39999</v>
      </c>
      <c r="E12">
        <v>47900</v>
      </c>
      <c r="F12">
        <v>7901</v>
      </c>
      <c r="G12">
        <v>16</v>
      </c>
      <c r="H12">
        <v>79512</v>
      </c>
      <c r="I12">
        <v>6796</v>
      </c>
      <c r="J12" t="s">
        <v>46</v>
      </c>
      <c r="K12">
        <v>4.5999999999999996</v>
      </c>
      <c r="L12" t="s">
        <v>40</v>
      </c>
      <c r="M12" s="3">
        <v>10413.04347826087</v>
      </c>
    </row>
    <row r="13" spans="1:13" x14ac:dyDescent="0.3">
      <c r="A13" t="s">
        <v>47</v>
      </c>
      <c r="B13" t="s">
        <v>48</v>
      </c>
      <c r="C13" t="s">
        <v>13</v>
      </c>
      <c r="D13">
        <v>41999</v>
      </c>
      <c r="E13">
        <v>52900</v>
      </c>
      <c r="F13">
        <v>10901</v>
      </c>
      <c r="G13">
        <v>20</v>
      </c>
      <c r="H13">
        <v>79582</v>
      </c>
      <c r="I13">
        <v>6804</v>
      </c>
      <c r="J13" t="s">
        <v>49</v>
      </c>
      <c r="K13">
        <v>4.5999999999999996</v>
      </c>
      <c r="L13" t="s">
        <v>40</v>
      </c>
      <c r="M13" s="3">
        <v>11500</v>
      </c>
    </row>
    <row r="14" spans="1:13" x14ac:dyDescent="0.3">
      <c r="A14" t="s">
        <v>50</v>
      </c>
      <c r="B14" t="s">
        <v>51</v>
      </c>
      <c r="C14" t="s">
        <v>13</v>
      </c>
      <c r="D14">
        <v>41999</v>
      </c>
      <c r="E14">
        <v>52900</v>
      </c>
      <c r="F14">
        <v>10901</v>
      </c>
      <c r="G14">
        <v>20</v>
      </c>
      <c r="H14">
        <v>79512</v>
      </c>
      <c r="I14">
        <v>6796</v>
      </c>
      <c r="J14" t="s">
        <v>52</v>
      </c>
      <c r="K14">
        <v>4.5999999999999996</v>
      </c>
      <c r="L14" t="s">
        <v>53</v>
      </c>
      <c r="M14" s="3">
        <v>11500</v>
      </c>
    </row>
    <row r="15" spans="1:13" x14ac:dyDescent="0.3">
      <c r="A15" t="s">
        <v>54</v>
      </c>
      <c r="B15" t="s">
        <v>55</v>
      </c>
      <c r="C15" t="s">
        <v>13</v>
      </c>
      <c r="D15">
        <v>41999</v>
      </c>
      <c r="E15">
        <v>52900</v>
      </c>
      <c r="F15">
        <v>10901</v>
      </c>
      <c r="G15">
        <v>20</v>
      </c>
      <c r="H15">
        <v>79512</v>
      </c>
      <c r="I15">
        <v>6796</v>
      </c>
      <c r="J15" t="s">
        <v>56</v>
      </c>
      <c r="K15">
        <v>4.5999999999999996</v>
      </c>
      <c r="L15" t="s">
        <v>40</v>
      </c>
      <c r="M15" s="3">
        <v>11500</v>
      </c>
    </row>
    <row r="16" spans="1:13" x14ac:dyDescent="0.3">
      <c r="A16" t="s">
        <v>57</v>
      </c>
      <c r="B16" t="s">
        <v>58</v>
      </c>
      <c r="C16" t="s">
        <v>13</v>
      </c>
      <c r="D16">
        <v>131900</v>
      </c>
      <c r="E16">
        <v>131900</v>
      </c>
      <c r="F16">
        <v>0</v>
      </c>
      <c r="G16">
        <v>0</v>
      </c>
      <c r="H16">
        <v>1078</v>
      </c>
      <c r="I16">
        <v>101</v>
      </c>
      <c r="J16" t="s">
        <v>59</v>
      </c>
      <c r="K16">
        <v>4.7</v>
      </c>
      <c r="L16" t="s">
        <v>40</v>
      </c>
      <c r="M16" s="3">
        <v>28063.829787234041</v>
      </c>
    </row>
    <row r="17" spans="1:13" x14ac:dyDescent="0.3">
      <c r="A17" t="s">
        <v>60</v>
      </c>
      <c r="B17" t="s">
        <v>61</v>
      </c>
      <c r="C17" t="s">
        <v>13</v>
      </c>
      <c r="D17">
        <v>117100</v>
      </c>
      <c r="E17">
        <v>117100</v>
      </c>
      <c r="F17">
        <v>0</v>
      </c>
      <c r="G17">
        <v>0</v>
      </c>
      <c r="H17">
        <v>1078</v>
      </c>
      <c r="I17">
        <v>101</v>
      </c>
      <c r="J17" t="s">
        <v>62</v>
      </c>
      <c r="K17">
        <v>4.7</v>
      </c>
      <c r="L17" t="s">
        <v>40</v>
      </c>
      <c r="M17" s="3">
        <v>24914.893617021276</v>
      </c>
    </row>
    <row r="18" spans="1:13" x14ac:dyDescent="0.3">
      <c r="A18" t="s">
        <v>63</v>
      </c>
      <c r="B18" t="s">
        <v>64</v>
      </c>
      <c r="C18" t="s">
        <v>13</v>
      </c>
      <c r="D18">
        <v>131900</v>
      </c>
      <c r="E18">
        <v>131900</v>
      </c>
      <c r="F18">
        <v>0</v>
      </c>
      <c r="G18">
        <v>0</v>
      </c>
      <c r="H18">
        <v>1078</v>
      </c>
      <c r="I18">
        <v>101</v>
      </c>
      <c r="J18" t="s">
        <v>65</v>
      </c>
      <c r="K18">
        <v>4.7</v>
      </c>
      <c r="L18" t="s">
        <v>40</v>
      </c>
      <c r="M18" s="3">
        <v>28063.829787234041</v>
      </c>
    </row>
    <row r="19" spans="1:13" x14ac:dyDescent="0.3">
      <c r="A19" t="s">
        <v>66</v>
      </c>
      <c r="B19" t="s">
        <v>67</v>
      </c>
      <c r="C19" t="s">
        <v>13</v>
      </c>
      <c r="D19">
        <v>117100</v>
      </c>
      <c r="E19">
        <v>117100</v>
      </c>
      <c r="F19">
        <v>0</v>
      </c>
      <c r="G19">
        <v>0</v>
      </c>
      <c r="H19">
        <v>1078</v>
      </c>
      <c r="I19">
        <v>101</v>
      </c>
      <c r="J19" t="s">
        <v>68</v>
      </c>
      <c r="K19">
        <v>4.7</v>
      </c>
      <c r="L19" t="s">
        <v>40</v>
      </c>
      <c r="M19" s="3">
        <v>24914.893617021276</v>
      </c>
    </row>
    <row r="20" spans="1:13" x14ac:dyDescent="0.3">
      <c r="A20" t="s">
        <v>69</v>
      </c>
      <c r="B20" t="s">
        <v>70</v>
      </c>
      <c r="C20" t="s">
        <v>13</v>
      </c>
      <c r="D20">
        <v>74999</v>
      </c>
      <c r="E20">
        <v>106600</v>
      </c>
      <c r="F20">
        <v>31601</v>
      </c>
      <c r="G20">
        <v>29</v>
      </c>
      <c r="H20">
        <v>7088</v>
      </c>
      <c r="I20">
        <v>523</v>
      </c>
      <c r="J20" t="s">
        <v>71</v>
      </c>
      <c r="K20">
        <v>4.5999999999999996</v>
      </c>
      <c r="L20" t="s">
        <v>40</v>
      </c>
      <c r="M20" s="3">
        <v>23173.913043478264</v>
      </c>
    </row>
    <row r="21" spans="1:13" x14ac:dyDescent="0.3">
      <c r="A21" t="s">
        <v>72</v>
      </c>
      <c r="B21" t="s">
        <v>73</v>
      </c>
      <c r="C21" t="s">
        <v>13</v>
      </c>
      <c r="D21">
        <v>117900</v>
      </c>
      <c r="E21">
        <v>140300</v>
      </c>
      <c r="F21">
        <v>22400</v>
      </c>
      <c r="G21">
        <v>15</v>
      </c>
      <c r="H21">
        <v>7088</v>
      </c>
      <c r="I21">
        <v>523</v>
      </c>
      <c r="J21" t="s">
        <v>74</v>
      </c>
      <c r="K21">
        <v>4.5999999999999996</v>
      </c>
      <c r="L21" t="s">
        <v>40</v>
      </c>
      <c r="M21" s="3">
        <v>30500.000000000004</v>
      </c>
    </row>
    <row r="22" spans="1:13" x14ac:dyDescent="0.3">
      <c r="A22" t="s">
        <v>75</v>
      </c>
      <c r="B22" t="s">
        <v>76</v>
      </c>
      <c r="C22" t="s">
        <v>13</v>
      </c>
      <c r="D22">
        <v>117100</v>
      </c>
      <c r="E22">
        <v>117100</v>
      </c>
      <c r="F22">
        <v>0</v>
      </c>
      <c r="G22">
        <v>0</v>
      </c>
      <c r="H22">
        <v>1078</v>
      </c>
      <c r="I22">
        <v>101</v>
      </c>
      <c r="J22" t="s">
        <v>77</v>
      </c>
      <c r="K22">
        <v>4.7</v>
      </c>
      <c r="L22" t="s">
        <v>40</v>
      </c>
      <c r="M22" s="3">
        <v>24914.893617021276</v>
      </c>
    </row>
    <row r="23" spans="1:13" x14ac:dyDescent="0.3">
      <c r="A23" t="s">
        <v>78</v>
      </c>
      <c r="B23" t="s">
        <v>79</v>
      </c>
      <c r="C23" t="s">
        <v>13</v>
      </c>
      <c r="D23">
        <v>117900</v>
      </c>
      <c r="E23">
        <v>140300</v>
      </c>
      <c r="F23">
        <v>22400</v>
      </c>
      <c r="G23">
        <v>15</v>
      </c>
      <c r="H23">
        <v>7088</v>
      </c>
      <c r="I23">
        <v>523</v>
      </c>
      <c r="J23" t="s">
        <v>80</v>
      </c>
      <c r="K23">
        <v>4.5999999999999996</v>
      </c>
      <c r="L23" t="s">
        <v>40</v>
      </c>
      <c r="M23" s="3">
        <v>30500.000000000004</v>
      </c>
    </row>
    <row r="24" spans="1:13" x14ac:dyDescent="0.3">
      <c r="A24" t="s">
        <v>81</v>
      </c>
      <c r="B24" t="s">
        <v>82</v>
      </c>
      <c r="C24" t="s">
        <v>13</v>
      </c>
      <c r="D24">
        <v>99900</v>
      </c>
      <c r="E24">
        <v>121300</v>
      </c>
      <c r="F24">
        <v>21400</v>
      </c>
      <c r="G24">
        <v>17</v>
      </c>
      <c r="H24">
        <v>7081</v>
      </c>
      <c r="I24">
        <v>522</v>
      </c>
      <c r="J24" t="s">
        <v>83</v>
      </c>
      <c r="K24">
        <v>4.5999999999999996</v>
      </c>
      <c r="L24" t="s">
        <v>40</v>
      </c>
      <c r="M24" s="3">
        <v>26369.565217391308</v>
      </c>
    </row>
    <row r="25" spans="1:13" x14ac:dyDescent="0.3">
      <c r="A25" t="s">
        <v>84</v>
      </c>
      <c r="B25" t="s">
        <v>85</v>
      </c>
      <c r="C25" t="s">
        <v>13</v>
      </c>
      <c r="D25">
        <v>44999</v>
      </c>
      <c r="E25">
        <v>54900</v>
      </c>
      <c r="F25">
        <v>9901</v>
      </c>
      <c r="G25">
        <v>18</v>
      </c>
      <c r="H25">
        <v>95909</v>
      </c>
      <c r="I25">
        <v>8161</v>
      </c>
      <c r="J25" t="s">
        <v>86</v>
      </c>
      <c r="K25">
        <v>4.5</v>
      </c>
      <c r="L25" t="s">
        <v>15</v>
      </c>
      <c r="M25" s="3">
        <v>12200</v>
      </c>
    </row>
    <row r="26" spans="1:13" x14ac:dyDescent="0.3">
      <c r="A26" t="s">
        <v>87</v>
      </c>
      <c r="B26" t="s">
        <v>88</v>
      </c>
      <c r="C26" t="s">
        <v>13</v>
      </c>
      <c r="D26">
        <v>140900</v>
      </c>
      <c r="E26">
        <v>149900</v>
      </c>
      <c r="F26">
        <v>9000</v>
      </c>
      <c r="G26">
        <v>6</v>
      </c>
      <c r="H26">
        <v>542</v>
      </c>
      <c r="I26">
        <v>42</v>
      </c>
      <c r="J26" t="s">
        <v>89</v>
      </c>
      <c r="K26">
        <v>4.5</v>
      </c>
      <c r="L26" t="s">
        <v>40</v>
      </c>
      <c r="M26" s="3">
        <v>33311.111111111109</v>
      </c>
    </row>
    <row r="27" spans="1:13" x14ac:dyDescent="0.3">
      <c r="A27" t="s">
        <v>90</v>
      </c>
      <c r="B27" t="s">
        <v>91</v>
      </c>
      <c r="C27" t="s">
        <v>13</v>
      </c>
      <c r="D27">
        <v>130900</v>
      </c>
      <c r="E27">
        <v>139900</v>
      </c>
      <c r="F27">
        <v>9000</v>
      </c>
      <c r="G27">
        <v>6</v>
      </c>
      <c r="H27">
        <v>580</v>
      </c>
      <c r="I27">
        <v>45</v>
      </c>
      <c r="J27" t="s">
        <v>92</v>
      </c>
      <c r="K27">
        <v>4.5999999999999996</v>
      </c>
      <c r="L27" t="s">
        <v>93</v>
      </c>
      <c r="M27" s="3">
        <v>30413.043478260872</v>
      </c>
    </row>
    <row r="28" spans="1:13" x14ac:dyDescent="0.3">
      <c r="A28" t="s">
        <v>94</v>
      </c>
      <c r="B28" t="s">
        <v>95</v>
      </c>
      <c r="C28" t="s">
        <v>13</v>
      </c>
      <c r="D28">
        <v>64900</v>
      </c>
      <c r="E28">
        <v>74900</v>
      </c>
      <c r="F28">
        <v>10000</v>
      </c>
      <c r="G28">
        <v>13</v>
      </c>
      <c r="H28">
        <v>740</v>
      </c>
      <c r="I28">
        <v>64</v>
      </c>
      <c r="J28" t="s">
        <v>96</v>
      </c>
      <c r="K28">
        <v>4.5</v>
      </c>
      <c r="L28" t="s">
        <v>40</v>
      </c>
      <c r="M28" s="3">
        <v>16644.444444444445</v>
      </c>
    </row>
    <row r="29" spans="1:13" x14ac:dyDescent="0.3">
      <c r="A29" t="s">
        <v>97</v>
      </c>
      <c r="B29" t="s">
        <v>98</v>
      </c>
      <c r="C29" t="s">
        <v>13</v>
      </c>
      <c r="D29">
        <v>120900</v>
      </c>
      <c r="E29">
        <v>129900</v>
      </c>
      <c r="F29">
        <v>9000</v>
      </c>
      <c r="G29">
        <v>6</v>
      </c>
      <c r="H29">
        <v>545</v>
      </c>
      <c r="I29">
        <v>42</v>
      </c>
      <c r="J29" t="s">
        <v>99</v>
      </c>
      <c r="K29">
        <v>4.5</v>
      </c>
      <c r="L29" t="s">
        <v>93</v>
      </c>
      <c r="M29" s="3">
        <v>28866.666666666668</v>
      </c>
    </row>
    <row r="30" spans="1:13" x14ac:dyDescent="0.3">
      <c r="A30" t="s">
        <v>100</v>
      </c>
      <c r="B30" t="s">
        <v>101</v>
      </c>
      <c r="C30" t="s">
        <v>13</v>
      </c>
      <c r="D30">
        <v>59900</v>
      </c>
      <c r="E30">
        <v>69900</v>
      </c>
      <c r="F30">
        <v>10000</v>
      </c>
      <c r="G30">
        <v>14</v>
      </c>
      <c r="H30">
        <v>740</v>
      </c>
      <c r="I30">
        <v>64</v>
      </c>
      <c r="J30" t="s">
        <v>102</v>
      </c>
      <c r="K30">
        <v>4.5</v>
      </c>
      <c r="L30" t="s">
        <v>40</v>
      </c>
      <c r="M30" s="3">
        <v>15533.333333333334</v>
      </c>
    </row>
    <row r="31" spans="1:13" x14ac:dyDescent="0.3">
      <c r="A31" t="s">
        <v>103</v>
      </c>
      <c r="B31" t="s">
        <v>104</v>
      </c>
      <c r="C31" t="s">
        <v>13</v>
      </c>
      <c r="D31">
        <v>75900</v>
      </c>
      <c r="E31">
        <v>84900</v>
      </c>
      <c r="F31">
        <v>9000</v>
      </c>
      <c r="G31">
        <v>10</v>
      </c>
      <c r="H31">
        <v>2101</v>
      </c>
      <c r="I31">
        <v>180</v>
      </c>
      <c r="J31" t="s">
        <v>105</v>
      </c>
      <c r="K31">
        <v>4.5999999999999996</v>
      </c>
      <c r="L31" t="s">
        <v>93</v>
      </c>
      <c r="M31" s="3">
        <v>18456.521739130436</v>
      </c>
    </row>
    <row r="32" spans="1:13" x14ac:dyDescent="0.3">
      <c r="A32" t="s">
        <v>106</v>
      </c>
      <c r="B32" t="s">
        <v>107</v>
      </c>
      <c r="C32" t="s">
        <v>13</v>
      </c>
      <c r="D32">
        <v>110900</v>
      </c>
      <c r="E32">
        <v>119900</v>
      </c>
      <c r="F32">
        <v>9000</v>
      </c>
      <c r="G32">
        <v>7</v>
      </c>
      <c r="H32">
        <v>545</v>
      </c>
      <c r="I32">
        <v>42</v>
      </c>
      <c r="J32" t="s">
        <v>108</v>
      </c>
      <c r="K32">
        <v>4.5</v>
      </c>
      <c r="L32" t="s">
        <v>93</v>
      </c>
      <c r="M32" s="3">
        <v>26644.444444444445</v>
      </c>
    </row>
    <row r="33" spans="1:13" x14ac:dyDescent="0.3">
      <c r="A33" t="s">
        <v>109</v>
      </c>
      <c r="B33" t="s">
        <v>110</v>
      </c>
      <c r="C33" t="s">
        <v>13</v>
      </c>
      <c r="D33">
        <v>130900</v>
      </c>
      <c r="E33">
        <v>139900</v>
      </c>
      <c r="F33">
        <v>9000</v>
      </c>
      <c r="G33">
        <v>6</v>
      </c>
      <c r="H33">
        <v>580</v>
      </c>
      <c r="I33">
        <v>45</v>
      </c>
      <c r="J33" t="s">
        <v>111</v>
      </c>
      <c r="K33">
        <v>4.5999999999999996</v>
      </c>
      <c r="L33" t="s">
        <v>93</v>
      </c>
      <c r="M33" s="3">
        <v>30413.043478260872</v>
      </c>
    </row>
    <row r="34" spans="1:13" x14ac:dyDescent="0.3">
      <c r="A34" t="s">
        <v>112</v>
      </c>
      <c r="B34" t="s">
        <v>113</v>
      </c>
      <c r="C34" t="s">
        <v>13</v>
      </c>
      <c r="D34">
        <v>120900</v>
      </c>
      <c r="E34">
        <v>129900</v>
      </c>
      <c r="F34">
        <v>9000</v>
      </c>
      <c r="G34">
        <v>6</v>
      </c>
      <c r="H34">
        <v>580</v>
      </c>
      <c r="I34">
        <v>45</v>
      </c>
      <c r="J34" t="s">
        <v>114</v>
      </c>
      <c r="K34">
        <v>4.5999999999999996</v>
      </c>
      <c r="L34" t="s">
        <v>93</v>
      </c>
      <c r="M34" s="3">
        <v>28239.130434782612</v>
      </c>
    </row>
    <row r="35" spans="1:13" x14ac:dyDescent="0.3">
      <c r="A35" t="s">
        <v>115</v>
      </c>
      <c r="B35" t="s">
        <v>116</v>
      </c>
      <c r="C35" t="s">
        <v>13</v>
      </c>
      <c r="D35">
        <v>64900</v>
      </c>
      <c r="E35">
        <v>74900</v>
      </c>
      <c r="F35">
        <v>10000</v>
      </c>
      <c r="G35">
        <v>13</v>
      </c>
      <c r="H35">
        <v>730</v>
      </c>
      <c r="I35">
        <v>63</v>
      </c>
      <c r="J35" t="s">
        <v>117</v>
      </c>
      <c r="K35">
        <v>4.5</v>
      </c>
      <c r="L35" t="s">
        <v>40</v>
      </c>
      <c r="M35" s="3">
        <v>16644.444444444445</v>
      </c>
    </row>
    <row r="36" spans="1:13" x14ac:dyDescent="0.3">
      <c r="A36" t="s">
        <v>118</v>
      </c>
      <c r="B36" t="s">
        <v>119</v>
      </c>
      <c r="C36" t="s">
        <v>13</v>
      </c>
      <c r="D36">
        <v>64900</v>
      </c>
      <c r="E36">
        <v>74900</v>
      </c>
      <c r="F36">
        <v>10000</v>
      </c>
      <c r="G36">
        <v>13</v>
      </c>
      <c r="H36">
        <v>730</v>
      </c>
      <c r="I36">
        <v>63</v>
      </c>
      <c r="J36" t="s">
        <v>120</v>
      </c>
      <c r="K36">
        <v>4.5</v>
      </c>
      <c r="L36" t="s">
        <v>40</v>
      </c>
      <c r="M36" s="3">
        <v>16644.444444444445</v>
      </c>
    </row>
    <row r="37" spans="1:13" x14ac:dyDescent="0.3">
      <c r="A37" t="s">
        <v>121</v>
      </c>
      <c r="B37" t="s">
        <v>122</v>
      </c>
      <c r="C37" t="s">
        <v>13</v>
      </c>
      <c r="D37">
        <v>75900</v>
      </c>
      <c r="E37">
        <v>84900</v>
      </c>
      <c r="F37">
        <v>9000</v>
      </c>
      <c r="G37">
        <v>10</v>
      </c>
      <c r="H37">
        <v>2101</v>
      </c>
      <c r="I37">
        <v>180</v>
      </c>
      <c r="J37" t="s">
        <v>123</v>
      </c>
      <c r="K37">
        <v>4.5999999999999996</v>
      </c>
      <c r="L37" t="s">
        <v>93</v>
      </c>
      <c r="M37" s="3">
        <v>18456.521739130436</v>
      </c>
    </row>
    <row r="38" spans="1:13" x14ac:dyDescent="0.3">
      <c r="A38" t="s">
        <v>124</v>
      </c>
      <c r="B38" t="s">
        <v>125</v>
      </c>
      <c r="C38" t="s">
        <v>13</v>
      </c>
      <c r="D38">
        <v>75900</v>
      </c>
      <c r="E38">
        <v>84900</v>
      </c>
      <c r="F38">
        <v>9000</v>
      </c>
      <c r="G38">
        <v>10</v>
      </c>
      <c r="H38">
        <v>2101</v>
      </c>
      <c r="I38">
        <v>180</v>
      </c>
      <c r="J38" t="s">
        <v>126</v>
      </c>
      <c r="K38">
        <v>4.5999999999999996</v>
      </c>
      <c r="L38" t="s">
        <v>93</v>
      </c>
      <c r="M38" s="3">
        <v>18456.521739130436</v>
      </c>
    </row>
    <row r="39" spans="1:13" x14ac:dyDescent="0.3">
      <c r="A39" t="s">
        <v>127</v>
      </c>
      <c r="B39" t="s">
        <v>128</v>
      </c>
      <c r="C39" t="s">
        <v>13</v>
      </c>
      <c r="D39">
        <v>120900</v>
      </c>
      <c r="E39">
        <v>129900</v>
      </c>
      <c r="F39">
        <v>9000</v>
      </c>
      <c r="G39">
        <v>6</v>
      </c>
      <c r="H39">
        <v>580</v>
      </c>
      <c r="I39">
        <v>45</v>
      </c>
      <c r="J39" t="s">
        <v>129</v>
      </c>
      <c r="K39">
        <v>4.5999999999999996</v>
      </c>
      <c r="L39" t="s">
        <v>93</v>
      </c>
      <c r="M39" s="3">
        <v>28239.130434782612</v>
      </c>
    </row>
    <row r="40" spans="1:13" x14ac:dyDescent="0.3">
      <c r="A40" t="s">
        <v>130</v>
      </c>
      <c r="B40" t="s">
        <v>131</v>
      </c>
      <c r="C40" t="s">
        <v>13</v>
      </c>
      <c r="D40">
        <v>59900</v>
      </c>
      <c r="E40">
        <v>69900</v>
      </c>
      <c r="F40">
        <v>10000</v>
      </c>
      <c r="G40">
        <v>14</v>
      </c>
      <c r="H40">
        <v>740</v>
      </c>
      <c r="I40">
        <v>64</v>
      </c>
      <c r="J40" t="s">
        <v>132</v>
      </c>
      <c r="K40">
        <v>4.5</v>
      </c>
      <c r="L40" t="s">
        <v>93</v>
      </c>
      <c r="M40" s="3">
        <v>15533.333333333334</v>
      </c>
    </row>
    <row r="41" spans="1:13" x14ac:dyDescent="0.3">
      <c r="A41" t="s">
        <v>133</v>
      </c>
      <c r="B41" t="s">
        <v>134</v>
      </c>
      <c r="C41" t="s">
        <v>13</v>
      </c>
      <c r="D41">
        <v>120900</v>
      </c>
      <c r="E41">
        <v>129900</v>
      </c>
      <c r="F41">
        <v>9000</v>
      </c>
      <c r="G41">
        <v>6</v>
      </c>
      <c r="H41">
        <v>580</v>
      </c>
      <c r="I41">
        <v>45</v>
      </c>
      <c r="J41" t="s">
        <v>135</v>
      </c>
      <c r="K41">
        <v>4.5999999999999996</v>
      </c>
      <c r="L41" t="s">
        <v>93</v>
      </c>
      <c r="M41" s="3">
        <v>28239.130434782612</v>
      </c>
    </row>
    <row r="42" spans="1:13" x14ac:dyDescent="0.3">
      <c r="A42" t="s">
        <v>136</v>
      </c>
      <c r="B42" t="s">
        <v>137</v>
      </c>
      <c r="C42" t="s">
        <v>13</v>
      </c>
      <c r="D42">
        <v>75900</v>
      </c>
      <c r="E42">
        <v>84900</v>
      </c>
      <c r="F42">
        <v>9000</v>
      </c>
      <c r="G42">
        <v>10</v>
      </c>
      <c r="H42">
        <v>2092</v>
      </c>
      <c r="I42">
        <v>178</v>
      </c>
      <c r="J42" t="s">
        <v>138</v>
      </c>
      <c r="K42">
        <v>4.5999999999999996</v>
      </c>
      <c r="L42" t="s">
        <v>93</v>
      </c>
      <c r="M42" s="3">
        <v>18456.521739130436</v>
      </c>
    </row>
    <row r="43" spans="1:13" x14ac:dyDescent="0.3">
      <c r="A43" t="s">
        <v>139</v>
      </c>
      <c r="B43" t="s">
        <v>140</v>
      </c>
      <c r="C43" t="s">
        <v>13</v>
      </c>
      <c r="D43">
        <v>140900</v>
      </c>
      <c r="E43">
        <v>149900</v>
      </c>
      <c r="F43">
        <v>9000</v>
      </c>
      <c r="G43">
        <v>6</v>
      </c>
      <c r="H43">
        <v>545</v>
      </c>
      <c r="I43">
        <v>42</v>
      </c>
      <c r="J43" t="s">
        <v>141</v>
      </c>
      <c r="K43">
        <v>4.5</v>
      </c>
      <c r="L43" t="s">
        <v>40</v>
      </c>
      <c r="M43" s="3">
        <v>33311.111111111109</v>
      </c>
    </row>
    <row r="44" spans="1:13" x14ac:dyDescent="0.3">
      <c r="A44" t="s">
        <v>142</v>
      </c>
      <c r="B44" t="s">
        <v>143</v>
      </c>
      <c r="C44" t="s">
        <v>13</v>
      </c>
      <c r="D44">
        <v>70900</v>
      </c>
      <c r="E44">
        <v>79900</v>
      </c>
      <c r="F44">
        <v>9000</v>
      </c>
      <c r="G44">
        <v>11</v>
      </c>
      <c r="H44">
        <v>2101</v>
      </c>
      <c r="I44">
        <v>180</v>
      </c>
      <c r="J44" t="s">
        <v>144</v>
      </c>
      <c r="K44">
        <v>4.5999999999999996</v>
      </c>
      <c r="L44" t="s">
        <v>93</v>
      </c>
      <c r="M44" s="3">
        <v>17369.565217391304</v>
      </c>
    </row>
    <row r="45" spans="1:13" x14ac:dyDescent="0.3">
      <c r="A45" t="s">
        <v>145</v>
      </c>
      <c r="B45" t="s">
        <v>146</v>
      </c>
      <c r="C45" t="s">
        <v>13</v>
      </c>
      <c r="D45">
        <v>70900</v>
      </c>
      <c r="E45">
        <v>79900</v>
      </c>
      <c r="F45">
        <v>9000</v>
      </c>
      <c r="G45">
        <v>11</v>
      </c>
      <c r="H45">
        <v>2092</v>
      </c>
      <c r="I45">
        <v>178</v>
      </c>
      <c r="J45" t="s">
        <v>147</v>
      </c>
      <c r="K45">
        <v>4.5999999999999996</v>
      </c>
      <c r="L45" t="s">
        <v>93</v>
      </c>
      <c r="M45" s="3">
        <v>17369.565217391304</v>
      </c>
    </row>
    <row r="46" spans="1:13" x14ac:dyDescent="0.3">
      <c r="A46" t="s">
        <v>148</v>
      </c>
      <c r="B46" t="s">
        <v>149</v>
      </c>
      <c r="C46" t="s">
        <v>13</v>
      </c>
      <c r="D46">
        <v>75900</v>
      </c>
      <c r="E46">
        <v>84900</v>
      </c>
      <c r="F46">
        <v>9000</v>
      </c>
      <c r="G46">
        <v>10</v>
      </c>
      <c r="H46">
        <v>2101</v>
      </c>
      <c r="I46">
        <v>180</v>
      </c>
      <c r="J46" t="s">
        <v>150</v>
      </c>
      <c r="K46">
        <v>4.5999999999999996</v>
      </c>
      <c r="L46" t="s">
        <v>93</v>
      </c>
      <c r="M46" s="3">
        <v>18456.521739130436</v>
      </c>
    </row>
    <row r="47" spans="1:13" x14ac:dyDescent="0.3">
      <c r="A47" t="s">
        <v>151</v>
      </c>
      <c r="B47" t="s">
        <v>152</v>
      </c>
      <c r="C47" t="s">
        <v>13</v>
      </c>
      <c r="D47">
        <v>59900</v>
      </c>
      <c r="E47">
        <v>69900</v>
      </c>
      <c r="F47">
        <v>10000</v>
      </c>
      <c r="G47">
        <v>14</v>
      </c>
      <c r="H47">
        <v>740</v>
      </c>
      <c r="I47">
        <v>64</v>
      </c>
      <c r="J47" t="s">
        <v>153</v>
      </c>
      <c r="K47">
        <v>4.5</v>
      </c>
      <c r="L47" t="s">
        <v>40</v>
      </c>
      <c r="M47" s="3">
        <v>15533.333333333334</v>
      </c>
    </row>
    <row r="48" spans="1:13" x14ac:dyDescent="0.3">
      <c r="A48" t="s">
        <v>154</v>
      </c>
      <c r="B48" t="s">
        <v>155</v>
      </c>
      <c r="C48" t="s">
        <v>13</v>
      </c>
      <c r="D48">
        <v>110900</v>
      </c>
      <c r="E48">
        <v>119900</v>
      </c>
      <c r="F48">
        <v>9000</v>
      </c>
      <c r="G48">
        <v>7</v>
      </c>
      <c r="H48">
        <v>545</v>
      </c>
      <c r="I48">
        <v>42</v>
      </c>
      <c r="J48" t="s">
        <v>156</v>
      </c>
      <c r="K48">
        <v>4.5</v>
      </c>
      <c r="L48" t="s">
        <v>93</v>
      </c>
      <c r="M48" s="3">
        <v>26644.444444444445</v>
      </c>
    </row>
    <row r="49" spans="1:13" x14ac:dyDescent="0.3">
      <c r="A49" t="s">
        <v>157</v>
      </c>
      <c r="B49" t="s">
        <v>158</v>
      </c>
      <c r="C49" t="s">
        <v>13</v>
      </c>
      <c r="D49">
        <v>120900</v>
      </c>
      <c r="E49">
        <v>129900</v>
      </c>
      <c r="F49">
        <v>9000</v>
      </c>
      <c r="G49">
        <v>6</v>
      </c>
      <c r="H49">
        <v>580</v>
      </c>
      <c r="I49">
        <v>45</v>
      </c>
      <c r="J49" t="s">
        <v>159</v>
      </c>
      <c r="K49">
        <v>4.5999999999999996</v>
      </c>
      <c r="L49" t="s">
        <v>93</v>
      </c>
      <c r="M49" s="3">
        <v>28239.130434782612</v>
      </c>
    </row>
    <row r="50" spans="1:13" x14ac:dyDescent="0.3">
      <c r="A50" t="s">
        <v>160</v>
      </c>
      <c r="B50" t="s">
        <v>161</v>
      </c>
      <c r="C50" t="s">
        <v>13</v>
      </c>
      <c r="D50">
        <v>130900</v>
      </c>
      <c r="E50">
        <v>139900</v>
      </c>
      <c r="F50">
        <v>9000</v>
      </c>
      <c r="G50">
        <v>6</v>
      </c>
      <c r="H50">
        <v>580</v>
      </c>
      <c r="I50">
        <v>45</v>
      </c>
      <c r="J50" t="s">
        <v>162</v>
      </c>
      <c r="K50">
        <v>4.5999999999999996</v>
      </c>
      <c r="L50" t="s">
        <v>93</v>
      </c>
      <c r="M50" s="3">
        <v>30413.043478260872</v>
      </c>
    </row>
    <row r="51" spans="1:13" x14ac:dyDescent="0.3">
      <c r="A51" t="s">
        <v>163</v>
      </c>
      <c r="B51" t="s">
        <v>164</v>
      </c>
      <c r="C51" t="s">
        <v>13</v>
      </c>
      <c r="D51">
        <v>130900</v>
      </c>
      <c r="E51">
        <v>139900</v>
      </c>
      <c r="F51">
        <v>9000</v>
      </c>
      <c r="G51">
        <v>6</v>
      </c>
      <c r="H51">
        <v>580</v>
      </c>
      <c r="I51">
        <v>45</v>
      </c>
      <c r="J51" t="s">
        <v>165</v>
      </c>
      <c r="K51">
        <v>4.5999999999999996</v>
      </c>
      <c r="L51" t="s">
        <v>93</v>
      </c>
      <c r="M51" s="3">
        <v>30413.043478260872</v>
      </c>
    </row>
    <row r="52" spans="1:13" x14ac:dyDescent="0.3">
      <c r="A52" t="s">
        <v>166</v>
      </c>
      <c r="B52" t="s">
        <v>167</v>
      </c>
      <c r="C52" t="s">
        <v>13</v>
      </c>
      <c r="D52">
        <v>54999</v>
      </c>
      <c r="E52">
        <v>59900</v>
      </c>
      <c r="F52">
        <v>4901</v>
      </c>
      <c r="G52">
        <v>8</v>
      </c>
      <c r="H52">
        <v>43707</v>
      </c>
      <c r="I52">
        <v>3357</v>
      </c>
      <c r="J52" t="s">
        <v>168</v>
      </c>
      <c r="K52">
        <v>4.5999999999999996</v>
      </c>
      <c r="L52" t="s">
        <v>40</v>
      </c>
      <c r="M52" s="3">
        <v>13021.739130434784</v>
      </c>
    </row>
    <row r="53" spans="1:13" x14ac:dyDescent="0.3">
      <c r="A53" t="s">
        <v>169</v>
      </c>
      <c r="B53" t="s">
        <v>170</v>
      </c>
      <c r="C53" t="s">
        <v>13</v>
      </c>
      <c r="D53">
        <v>54999</v>
      </c>
      <c r="E53">
        <v>59900</v>
      </c>
      <c r="F53">
        <v>4901</v>
      </c>
      <c r="G53">
        <v>8</v>
      </c>
      <c r="H53">
        <v>43707</v>
      </c>
      <c r="I53">
        <v>3357</v>
      </c>
      <c r="J53" t="s">
        <v>171</v>
      </c>
      <c r="K53">
        <v>4.5999999999999996</v>
      </c>
      <c r="L53" t="s">
        <v>40</v>
      </c>
      <c r="M53" s="3">
        <v>13021.739130434784</v>
      </c>
    </row>
    <row r="54" spans="1:13" x14ac:dyDescent="0.3">
      <c r="A54" t="s">
        <v>172</v>
      </c>
      <c r="B54" t="s">
        <v>173</v>
      </c>
      <c r="C54" t="s">
        <v>13</v>
      </c>
      <c r="D54">
        <v>29999</v>
      </c>
      <c r="E54">
        <v>39900</v>
      </c>
      <c r="F54">
        <v>9901</v>
      </c>
      <c r="G54">
        <v>24</v>
      </c>
      <c r="H54">
        <v>95807</v>
      </c>
      <c r="I54">
        <v>8154</v>
      </c>
      <c r="J54" t="s">
        <v>174</v>
      </c>
      <c r="K54">
        <v>4.5</v>
      </c>
      <c r="L54" t="s">
        <v>15</v>
      </c>
      <c r="M54" s="3">
        <v>8866.6666666666661</v>
      </c>
    </row>
    <row r="55" spans="1:13" x14ac:dyDescent="0.3">
      <c r="A55" t="s">
        <v>175</v>
      </c>
      <c r="B55" t="s">
        <v>176</v>
      </c>
      <c r="C55" t="s">
        <v>13</v>
      </c>
      <c r="D55">
        <v>34999</v>
      </c>
      <c r="E55">
        <v>44900</v>
      </c>
      <c r="F55">
        <v>9901</v>
      </c>
      <c r="G55">
        <v>22</v>
      </c>
      <c r="H55">
        <v>95909</v>
      </c>
      <c r="I55">
        <v>8161</v>
      </c>
      <c r="J55" t="s">
        <v>177</v>
      </c>
      <c r="K55">
        <v>4.5</v>
      </c>
      <c r="L55" t="s">
        <v>15</v>
      </c>
      <c r="M55" s="3">
        <v>9977.7777777777774</v>
      </c>
    </row>
    <row r="56" spans="1:13" x14ac:dyDescent="0.3">
      <c r="A56" t="s">
        <v>178</v>
      </c>
      <c r="B56" t="s">
        <v>179</v>
      </c>
      <c r="C56" t="s">
        <v>13</v>
      </c>
      <c r="D56">
        <v>34999</v>
      </c>
      <c r="E56">
        <v>44900</v>
      </c>
      <c r="F56">
        <v>9901</v>
      </c>
      <c r="G56">
        <v>22</v>
      </c>
      <c r="H56">
        <v>95807</v>
      </c>
      <c r="I56">
        <v>8154</v>
      </c>
      <c r="J56" t="s">
        <v>180</v>
      </c>
      <c r="K56">
        <v>4.5</v>
      </c>
      <c r="L56" t="s">
        <v>15</v>
      </c>
      <c r="M56" s="3">
        <v>9977.7777777777774</v>
      </c>
    </row>
    <row r="57" spans="1:13" x14ac:dyDescent="0.3">
      <c r="A57" t="s">
        <v>181</v>
      </c>
      <c r="B57" t="s">
        <v>182</v>
      </c>
      <c r="C57" t="s">
        <v>13</v>
      </c>
      <c r="D57">
        <v>34999</v>
      </c>
      <c r="E57">
        <v>44900</v>
      </c>
      <c r="F57">
        <v>9901</v>
      </c>
      <c r="G57">
        <v>22</v>
      </c>
      <c r="H57">
        <v>95909</v>
      </c>
      <c r="I57">
        <v>8161</v>
      </c>
      <c r="J57" t="s">
        <v>183</v>
      </c>
      <c r="K57">
        <v>4.5</v>
      </c>
      <c r="L57" t="s">
        <v>15</v>
      </c>
      <c r="M57" s="3">
        <v>9977.7777777777774</v>
      </c>
    </row>
    <row r="58" spans="1:13" x14ac:dyDescent="0.3">
      <c r="A58" t="s">
        <v>184</v>
      </c>
      <c r="B58" t="s">
        <v>185</v>
      </c>
      <c r="C58" t="s">
        <v>13</v>
      </c>
      <c r="D58">
        <v>54999</v>
      </c>
      <c r="E58">
        <v>59900</v>
      </c>
      <c r="F58">
        <v>4901</v>
      </c>
      <c r="G58">
        <v>8</v>
      </c>
      <c r="H58">
        <v>43470</v>
      </c>
      <c r="I58">
        <v>3331</v>
      </c>
      <c r="J58" t="s">
        <v>186</v>
      </c>
      <c r="K58">
        <v>4.5999999999999996</v>
      </c>
      <c r="L58" t="s">
        <v>40</v>
      </c>
      <c r="M58" s="3">
        <v>13021.739130434784</v>
      </c>
    </row>
    <row r="59" spans="1:13" x14ac:dyDescent="0.3">
      <c r="A59" t="s">
        <v>187</v>
      </c>
      <c r="B59" t="s">
        <v>188</v>
      </c>
      <c r="C59" t="s">
        <v>13</v>
      </c>
      <c r="D59">
        <v>29999</v>
      </c>
      <c r="E59">
        <v>39900</v>
      </c>
      <c r="F59">
        <v>9901</v>
      </c>
      <c r="G59">
        <v>24</v>
      </c>
      <c r="H59">
        <v>95909</v>
      </c>
      <c r="I59">
        <v>8161</v>
      </c>
      <c r="J59" t="s">
        <v>189</v>
      </c>
      <c r="K59">
        <v>4.5</v>
      </c>
      <c r="L59" t="s">
        <v>40</v>
      </c>
      <c r="M59" s="3">
        <v>8866.6666666666661</v>
      </c>
    </row>
    <row r="60" spans="1:13" x14ac:dyDescent="0.3">
      <c r="A60" t="s">
        <v>190</v>
      </c>
      <c r="B60" t="s">
        <v>191</v>
      </c>
      <c r="C60" t="s">
        <v>13</v>
      </c>
      <c r="D60">
        <v>46999</v>
      </c>
      <c r="E60">
        <v>54900</v>
      </c>
      <c r="F60">
        <v>7901</v>
      </c>
      <c r="G60">
        <v>14</v>
      </c>
      <c r="H60">
        <v>43470</v>
      </c>
      <c r="I60">
        <v>3331</v>
      </c>
      <c r="J60" t="s">
        <v>192</v>
      </c>
      <c r="K60">
        <v>4.5999999999999996</v>
      </c>
      <c r="L60" t="s">
        <v>40</v>
      </c>
      <c r="M60" s="3">
        <v>11934.782608695654</v>
      </c>
    </row>
    <row r="61" spans="1:13" x14ac:dyDescent="0.3">
      <c r="A61" t="s">
        <v>193</v>
      </c>
      <c r="B61" t="s">
        <v>194</v>
      </c>
      <c r="C61" t="s">
        <v>13</v>
      </c>
      <c r="D61">
        <v>46999</v>
      </c>
      <c r="E61">
        <v>54900</v>
      </c>
      <c r="F61">
        <v>7901</v>
      </c>
      <c r="G61">
        <v>14</v>
      </c>
      <c r="H61">
        <v>43470</v>
      </c>
      <c r="I61">
        <v>3331</v>
      </c>
      <c r="J61" t="s">
        <v>195</v>
      </c>
      <c r="K61">
        <v>4.5999999999999996</v>
      </c>
      <c r="L61" t="s">
        <v>40</v>
      </c>
      <c r="M61" s="3">
        <v>11934.782608695654</v>
      </c>
    </row>
    <row r="62" spans="1:13" x14ac:dyDescent="0.3">
      <c r="A62" t="s">
        <v>196</v>
      </c>
      <c r="B62" t="s">
        <v>197</v>
      </c>
      <c r="C62" t="s">
        <v>13</v>
      </c>
      <c r="D62">
        <v>46999</v>
      </c>
      <c r="E62">
        <v>54900</v>
      </c>
      <c r="F62">
        <v>7901</v>
      </c>
      <c r="G62">
        <v>14</v>
      </c>
      <c r="H62">
        <v>43470</v>
      </c>
      <c r="I62">
        <v>3331</v>
      </c>
      <c r="J62" t="s">
        <v>198</v>
      </c>
      <c r="K62">
        <v>4.5999999999999996</v>
      </c>
      <c r="L62" t="s">
        <v>40</v>
      </c>
      <c r="M62" s="3">
        <v>11934.782608695654</v>
      </c>
    </row>
    <row r="63" spans="1:13" x14ac:dyDescent="0.3">
      <c r="A63" t="s">
        <v>199</v>
      </c>
      <c r="B63" t="s">
        <v>200</v>
      </c>
      <c r="C63" t="s">
        <v>13</v>
      </c>
      <c r="D63">
        <v>46999</v>
      </c>
      <c r="E63">
        <v>54900</v>
      </c>
      <c r="F63">
        <v>7901</v>
      </c>
      <c r="G63">
        <v>14</v>
      </c>
      <c r="H63">
        <v>43470</v>
      </c>
      <c r="I63">
        <v>3331</v>
      </c>
      <c r="J63" t="s">
        <v>201</v>
      </c>
      <c r="K63">
        <v>4.5999999999999996</v>
      </c>
      <c r="L63" t="s">
        <v>40</v>
      </c>
      <c r="M63" s="3">
        <v>11934.782608695654</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35BBBA-55A6-4DB4-8742-A8D6E05A6A30}">
  <dimension ref="A1"/>
  <sheetViews>
    <sheetView showGridLines="0" tabSelected="1" zoomScale="54" zoomScaleNormal="59" zoomScalePageLayoutView="42" workbookViewId="0">
      <selection activeCell="Y20" sqref="Y20"/>
    </sheetView>
  </sheetViews>
  <sheetFormatPr defaultRowHeight="14.4" x14ac:dyDescent="0.3"/>
  <sheetData/>
  <pageMargins left="0.25" right="0.25" top="0.75" bottom="0.75" header="0.3" footer="0.3"/>
  <pageSetup paperSize="9" orientation="portrait" horizontalDpi="4294967293" verticalDpi="4294967293"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Sum of Sale Price</vt:lpstr>
      <vt:lpstr>Average of Sale Price</vt:lpstr>
      <vt:lpstr>Highest Discount Amount</vt:lpstr>
      <vt:lpstr>Highest No. of Rating</vt:lpstr>
      <vt:lpstr>Avg. of Star Rating </vt:lpstr>
      <vt:lpstr>Avilable Product</vt:lpstr>
      <vt:lpstr>Average of Discount Percentage</vt:lpstr>
      <vt:lpstr>Averag Sale Price</vt:lpstr>
      <vt:lpstr>Sheet1</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Sushmit Purakayet</dc:creator>
  <cp:lastModifiedBy>Sushmit Purakayet</cp:lastModifiedBy>
  <dcterms:created xsi:type="dcterms:W3CDTF">2025-07-18T04:42:39Z</dcterms:created>
  <dcterms:modified xsi:type="dcterms:W3CDTF">2025-07-18T08:24:47Z</dcterms:modified>
</cp:coreProperties>
</file>